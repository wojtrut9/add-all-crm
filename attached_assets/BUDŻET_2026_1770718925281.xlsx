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DZIENNY TRACKER" sheetId="1" state="visible" r:id="rId1"/>
    <sheet name="PROGNOZA 2026" sheetId="2" state="visible" r:id="rId2"/>
    <sheet name="SPRZEDAŻ 2026" sheetId="3" state="visible" r:id="rId3"/>
    <sheet name="WYNAGRODZENIA 2026" sheetId="4" state="visible" r:id="rId4"/>
    <sheet name="OPERACYJNE 2026" sheetId="5" state="visible" r:id="rId5"/>
    <sheet name="SAMOCHODY 2026" sheetId="6" state="visible" r:id="rId6"/>
    <sheet name="WYKONANIE 2026" sheetId="7" state="visible" r:id="rId7"/>
    <sheet name="CASH FLOW 2026" sheetId="8" state="visible" r:id="rId8"/>
    <sheet name="FAKTURY OD JDG" sheetId="9" state="visible" r:id="rId9"/>
    <sheet name="NOTATKI" sheetId="10" state="visible" r:id="rId10"/>
  </sheets>
  <definedNames>
    <definedName name="_xlnm.Print_Area" localSheetId="0">'DZIENNY TRACKER'!$A$1:$H$45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zł"/>
  </numFmts>
  <fonts count="27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404040"/>
      <sz val="11"/>
    </font>
    <font>
      <name val="Calibri"/>
      <color rgb="FF404040"/>
      <sz val="11"/>
    </font>
    <font>
      <name val="Calibri"/>
      <i val="1"/>
      <color rgb="FF404040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03366"/>
      <sz val="11"/>
    </font>
    <font>
      <name val="Calibri"/>
      <b val="1"/>
      <color rgb="FF1F4E79"/>
      <sz val="11"/>
    </font>
    <font>
      <name val="Calibri"/>
      <b val="1"/>
      <color rgb="FFFFFFFF"/>
      <sz val="14"/>
    </font>
    <font>
      <name val="Calibri"/>
      <b val="1"/>
      <color rgb="FF375623"/>
      <sz val="12"/>
    </font>
    <font>
      <name val="Calibri"/>
      <b val="1"/>
      <color rgb="FFC00000"/>
      <sz val="11"/>
    </font>
    <font>
      <name val="Calibri"/>
      <b val="1"/>
      <color rgb="FF375623"/>
      <sz val="11"/>
    </font>
    <font>
      <name val="Calibri"/>
      <b val="1"/>
      <color rgb="FF0070C0"/>
      <sz val="11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color rgb="00333333"/>
      <sz val="11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003366"/>
      <sz val="12"/>
    </font>
    <font>
      <name val="Calibri"/>
      <sz val="11"/>
    </font>
    <font>
      <name val="Calibri"/>
      <b val="1"/>
      <sz val="12"/>
    </font>
    <font>
      <name val="Calibri"/>
      <color rgb="001F4E79"/>
      <sz val="11"/>
    </font>
    <font>
      <name val="Calibri"/>
      <b val="1"/>
      <color rgb="00666666"/>
      <sz val="10"/>
    </font>
  </fonts>
  <fills count="2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E75B6"/>
        <bgColor rgb="FF2E75B6"/>
      </patternFill>
    </fill>
    <fill>
      <patternFill patternType="solid">
        <fgColor rgb="FFFFFFEE"/>
        <bgColor rgb="FFFFFFEE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D6E4F0"/>
        <bgColor rgb="FFD6E4F0"/>
      </patternFill>
    </fill>
    <fill>
      <patternFill patternType="solid">
        <fgColor rgb="FFED7D31"/>
        <bgColor rgb="FFED7D31"/>
      </patternFill>
    </fill>
    <fill>
      <patternFill patternType="solid">
        <fgColor rgb="FFEDF2F9"/>
        <bgColor rgb="FFEDF2F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BE5D6"/>
        <bgColor rgb="FFFBE5D6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BF8F00"/>
        <bgColor rgb="FFBF8F00"/>
      </patternFill>
    </fill>
    <fill>
      <patternFill patternType="solid">
        <fgColor rgb="FF808080"/>
        <bgColor rgb="FF808080"/>
      </patternFill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FFFFEE"/>
        <bgColor rgb="00FFFFEE"/>
      </patternFill>
    </fill>
    <fill>
      <patternFill patternType="solid">
        <fgColor rgb="00F5F5F5"/>
        <bgColor rgb="00F5F5F5"/>
      </patternFill>
    </fill>
    <fill>
      <patternFill patternType="solid">
        <fgColor rgb="00375623"/>
        <bgColor rgb="00375623"/>
      </patternFill>
    </fill>
    <fill>
      <patternFill patternType="solid">
        <fgColor rgb="002E75B6"/>
        <bgColor rgb="002E75B6"/>
      </patternFill>
    </fill>
    <fill>
      <patternFill patternType="solid">
        <fgColor rgb="00FFFDE7"/>
        <bgColor rgb="00FFFDE7"/>
      </patternFill>
    </fill>
  </fills>
  <borders count="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3" fontId="2" fillId="0" borderId="1" pivotButton="0" quotePrefix="0" xfId="0"/>
    <xf numFmtId="0" fontId="6" fillId="6" borderId="1" pivotButton="0" quotePrefix="0" xfId="0"/>
    <xf numFmtId="3" fontId="6" fillId="6" borderId="1" pivotButton="0" quotePrefix="0" xfId="0"/>
    <xf numFmtId="0" fontId="5" fillId="7" borderId="1" pivotButton="0" quotePrefix="0" xfId="0"/>
    <xf numFmtId="0" fontId="0" fillId="7" borderId="1" pivotButton="0" quotePrefix="0" xfId="0"/>
    <xf numFmtId="164" fontId="0" fillId="0" borderId="1" pivotButton="0" quotePrefix="0" xfId="0"/>
    <xf numFmtId="3" fontId="3" fillId="0" borderId="1" pivotButton="0" quotePrefix="0" xfId="0"/>
    <xf numFmtId="0" fontId="6" fillId="7" borderId="1" pivotButton="0" quotePrefix="0" xfId="0"/>
    <xf numFmtId="3" fontId="6" fillId="7" borderId="1" pivotButton="0" quotePrefix="0" xfId="0"/>
    <xf numFmtId="164" fontId="6" fillId="7" borderId="1" pivotButton="0" quotePrefix="0" xfId="0"/>
    <xf numFmtId="0" fontId="8" fillId="8" borderId="1" pivotButton="0" quotePrefix="0" xfId="0"/>
    <xf numFmtId="3" fontId="8" fillId="8" borderId="1" pivotButton="0" quotePrefix="0" xfId="0"/>
    <xf numFmtId="0" fontId="2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9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10" fillId="0" borderId="0" pivotButton="0" quotePrefix="0" xfId="0"/>
    <xf numFmtId="3" fontId="3" fillId="10" borderId="1" pivotButton="0" quotePrefix="0" xfId="0"/>
    <xf numFmtId="0" fontId="0" fillId="6" borderId="1" pivotButton="0" quotePrefix="0" xfId="0"/>
    <xf numFmtId="0" fontId="2" fillId="11" borderId="1" pivotButton="0" quotePrefix="0" xfId="0"/>
    <xf numFmtId="3" fontId="7" fillId="11" borderId="1" applyAlignment="1" pivotButton="0" quotePrefix="0" xfId="0">
      <alignment horizontal="right" vertical="center"/>
    </xf>
    <xf numFmtId="0" fontId="11" fillId="0" borderId="1" pivotButton="0" quotePrefix="0" xfId="0"/>
    <xf numFmtId="3" fontId="11" fillId="0" borderId="1" pivotButton="0" quotePrefix="0" xfId="0"/>
    <xf numFmtId="0" fontId="10" fillId="0" borderId="1" pivotButton="0" quotePrefix="0" xfId="0"/>
    <xf numFmtId="164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0" fontId="6" fillId="4" borderId="1" pivotButton="0" quotePrefix="0" xfId="0"/>
    <xf numFmtId="3" fontId="6" fillId="4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9" borderId="1" pivotButton="0" quotePrefix="0" xfId="0"/>
    <xf numFmtId="3" fontId="6" fillId="9" borderId="1" pivotButton="0" quotePrefix="0" xfId="0"/>
    <xf numFmtId="0" fontId="6" fillId="14" borderId="1" pivotButton="0" quotePrefix="0" xfId="0"/>
    <xf numFmtId="3" fontId="6" fillId="14" borderId="1" pivotButton="0" quotePrefix="0" xfId="0"/>
    <xf numFmtId="0" fontId="6" fillId="3" borderId="1" pivotButton="0" quotePrefix="0" xfId="0"/>
    <xf numFmtId="0" fontId="12" fillId="12" borderId="1" pivotButton="0" quotePrefix="0" xfId="0"/>
    <xf numFmtId="3" fontId="0" fillId="12" borderId="1" pivotButton="0" quotePrefix="0" xfId="0"/>
    <xf numFmtId="0" fontId="11" fillId="13" borderId="1" pivotButton="0" quotePrefix="0" xfId="0"/>
    <xf numFmtId="3" fontId="0" fillId="13" borderId="1" pivotButton="0" quotePrefix="0" xfId="0"/>
    <xf numFmtId="0" fontId="13" fillId="17" borderId="1" pivotButton="0" quotePrefix="0" xfId="0"/>
    <xf numFmtId="3" fontId="13" fillId="17" borderId="1" pivotButton="0" quotePrefix="0" xfId="0"/>
    <xf numFmtId="4" fontId="2" fillId="0" borderId="1" pivotButton="0" quotePrefix="0" xfId="0"/>
    <xf numFmtId="0" fontId="7" fillId="5" borderId="1" applyAlignment="1" pivotButton="0" quotePrefix="0" xfId="0">
      <alignment horizontal="right" vertical="center"/>
    </xf>
    <xf numFmtId="0" fontId="5" fillId="4" borderId="1" pivotButton="0" quotePrefix="0" xfId="0"/>
    <xf numFmtId="0" fontId="0" fillId="4" borderId="1" pivotButton="0" quotePrefix="0" xfId="0"/>
    <xf numFmtId="0" fontId="5" fillId="9" borderId="1" pivotButton="0" quotePrefix="0" xfId="0"/>
    <xf numFmtId="0" fontId="0" fillId="9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9" fillId="3" borderId="1" pivotButton="0" quotePrefix="0" xfId="0"/>
    <xf numFmtId="0" fontId="0" fillId="3" borderId="1" pivotButton="0" quotePrefix="0" xfId="0"/>
    <xf numFmtId="0" fontId="6" fillId="4" borderId="1" pivotButton="0" quotePrefix="0" xfId="0"/>
    <xf numFmtId="0" fontId="9" fillId="2" borderId="1" pivotButton="0" quotePrefix="0" xfId="0"/>
    <xf numFmtId="0" fontId="6" fillId="2" borderId="1" pivotButton="0" quotePrefix="0" xfId="0"/>
    <xf numFmtId="0" fontId="6" fillId="9" borderId="1" pivotButton="0" quotePrefix="0" xfId="0"/>
    <xf numFmtId="0" fontId="9" fillId="9" borderId="1" pivotButton="0" quotePrefix="0" xfId="0"/>
    <xf numFmtId="0" fontId="6" fillId="14" borderId="1" pivotButton="0" quotePrefix="0" xfId="0"/>
    <xf numFmtId="0" fontId="9" fillId="14" borderId="1" pivotButton="0" quotePrefix="0" xfId="0"/>
    <xf numFmtId="0" fontId="0" fillId="14" borderId="1" pivotButton="0" quotePrefix="0" xfId="0"/>
    <xf numFmtId="0" fontId="5" fillId="2" borderId="1" pivotButton="0" quotePrefix="0" xfId="0"/>
    <xf numFmtId="0" fontId="9" fillId="15" borderId="1" pivotButton="0" quotePrefix="0" xfId="0"/>
    <xf numFmtId="0" fontId="0" fillId="15" borderId="1" pivotButton="0" quotePrefix="0" xfId="0"/>
    <xf numFmtId="0" fontId="9" fillId="16" borderId="1" pivotButton="0" quotePrefix="0" xfId="0"/>
    <xf numFmtId="0" fontId="0" fillId="16" borderId="1" pivotButton="0" quotePrefix="0" xfId="0"/>
    <xf numFmtId="0" fontId="9" fillId="18" borderId="1" pivotButton="0" quotePrefix="0" xfId="0"/>
    <xf numFmtId="0" fontId="0" fillId="18" borderId="1" pivotButton="0" quotePrefix="0" xfId="0"/>
    <xf numFmtId="0" fontId="9" fillId="19" borderId="1" pivotButton="0" quotePrefix="0" xfId="0"/>
    <xf numFmtId="0" fontId="0" fillId="19" borderId="1" pivotButton="0" quotePrefix="0" xfId="0"/>
    <xf numFmtId="0" fontId="14" fillId="20" borderId="6" applyAlignment="1" pivotButton="0" quotePrefix="0" xfId="0">
      <alignment horizontal="center" vertical="center"/>
    </xf>
    <xf numFmtId="0" fontId="0" fillId="20" borderId="6" pivotButton="0" quotePrefix="0" xfId="0"/>
    <xf numFmtId="0" fontId="15" fillId="21" borderId="6" pivotButton="0" quotePrefix="0" xfId="0"/>
    <xf numFmtId="0" fontId="0" fillId="21" borderId="6" pivotButton="0" quotePrefix="0" xfId="0"/>
    <xf numFmtId="0" fontId="15" fillId="24" borderId="6" applyAlignment="1" pivotButton="0" quotePrefix="0" xfId="0">
      <alignment horizontal="center"/>
    </xf>
    <xf numFmtId="0" fontId="0" fillId="24" borderId="6" pivotButton="0" quotePrefix="0" xfId="0"/>
    <xf numFmtId="0" fontId="16" fillId="23" borderId="6" pivotButton="0" quotePrefix="0" xfId="0"/>
    <xf numFmtId="165" fontId="16" fillId="22" borderId="6" pivotButton="0" quotePrefix="0" xfId="0"/>
    <xf numFmtId="0" fontId="21" fillId="25" borderId="6" applyAlignment="1" pivotButton="0" quotePrefix="0" xfId="0">
      <alignment horizontal="center" vertical="center" wrapText="1"/>
    </xf>
    <xf numFmtId="0" fontId="16" fillId="0" borderId="6" pivotButton="0" quotePrefix="0" xfId="0"/>
    <xf numFmtId="0" fontId="18" fillId="0" borderId="6" applyAlignment="1" pivotButton="0" quotePrefix="0" xfId="0">
      <alignment horizontal="center"/>
    </xf>
    <xf numFmtId="165" fontId="22" fillId="26" borderId="6" applyAlignment="1" pivotButton="0" quotePrefix="0" xfId="0">
      <alignment horizontal="right"/>
    </xf>
    <xf numFmtId="165" fontId="23" fillId="0" borderId="6" applyAlignment="1" pivotButton="0" quotePrefix="0" xfId="0">
      <alignment horizontal="right"/>
    </xf>
    <xf numFmtId="165" fontId="24" fillId="0" borderId="6" applyAlignment="1" pivotButton="0" quotePrefix="0" xfId="0">
      <alignment horizontal="right"/>
    </xf>
    <xf numFmtId="0" fontId="18" fillId="23" borderId="6" applyAlignment="1" pivotButton="0" quotePrefix="0" xfId="0">
      <alignment horizontal="center"/>
    </xf>
    <xf numFmtId="0" fontId="17" fillId="21" borderId="7" pivotButton="0" quotePrefix="0" xfId="0"/>
    <xf numFmtId="165" fontId="15" fillId="21" borderId="7" pivotButton="0" quotePrefix="0" xfId="0"/>
    <xf numFmtId="0" fontId="18" fillId="0" borderId="6" pivotButton="0" quotePrefix="0" xfId="0"/>
    <xf numFmtId="0" fontId="19" fillId="22" borderId="6" applyAlignment="1" pivotButton="0" quotePrefix="0" xfId="0">
      <alignment horizontal="center"/>
    </xf>
    <xf numFmtId="0" fontId="15" fillId="21" borderId="7" pivotButton="0" quotePrefix="0" xfId="0"/>
    <xf numFmtId="165" fontId="14" fillId="21" borderId="7" applyAlignment="1" pivotButton="0" quotePrefix="0" xfId="0">
      <alignment horizontal="center"/>
    </xf>
    <xf numFmtId="164" fontId="19" fillId="22" borderId="6" applyAlignment="1" pivotButton="0" quotePrefix="0" xfId="0">
      <alignment horizontal="center"/>
    </xf>
    <xf numFmtId="0" fontId="15" fillId="20" borderId="7" pivotButton="0" quotePrefix="0" xfId="0"/>
    <xf numFmtId="165" fontId="14" fillId="20" borderId="7" applyAlignment="1" pivotButton="0" quotePrefix="0" xfId="0">
      <alignment horizontal="center"/>
    </xf>
    <xf numFmtId="0" fontId="20" fillId="0" borderId="0" pivotButton="0" quotePrefix="0" xfId="0"/>
    <xf numFmtId="0" fontId="17" fillId="20" borderId="7" applyAlignment="1" pivotButton="0" quotePrefix="0" xfId="0">
      <alignment horizontal="center"/>
    </xf>
    <xf numFmtId="165" fontId="17" fillId="20" borderId="7" applyAlignment="1" pivotButton="0" quotePrefix="0" xfId="0">
      <alignment horizontal="center"/>
    </xf>
    <xf numFmtId="0" fontId="15" fillId="20" borderId="6" applyAlignment="1" pivotButton="0" quotePrefix="0" xfId="0">
      <alignment horizontal="center"/>
    </xf>
    <xf numFmtId="0" fontId="25" fillId="0" borderId="6" pivotButton="0" quotePrefix="0" xfId="0"/>
    <xf numFmtId="165" fontId="16" fillId="0" borderId="6" applyAlignment="1" pivotButton="0" quotePrefix="0" xfId="0">
      <alignment horizontal="right"/>
    </xf>
    <xf numFmtId="0" fontId="0" fillId="0" borderId="6" pivotButton="0" quotePrefix="0" xfId="0"/>
    <xf numFmtId="0" fontId="21" fillId="20" borderId="6" pivotButton="0" quotePrefix="0" xfId="0"/>
    <xf numFmtId="165" fontId="15" fillId="20" borderId="6" applyAlignment="1" pivotButton="0" quotePrefix="0" xfId="0">
      <alignment horizontal="right"/>
    </xf>
    <xf numFmtId="1" fontId="16" fillId="0" borderId="6" applyAlignment="1" pivotButton="0" quotePrefix="0" xfId="0">
      <alignment horizontal="right"/>
    </xf>
    <xf numFmtId="0" fontId="2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ny" xfId="0" builtinId="0"/>
  </cellStyles>
  <dxfs count="4">
    <dxf>
      <font>
        <b val="1"/>
        <color rgb="00006100"/>
        <sz val="12"/>
      </font>
      <fill>
        <patternFill patternType="solid">
          <fgColor rgb="00C6EFCE"/>
          <bgColor rgb="00C6EFCE"/>
        </patternFill>
      </fill>
    </dxf>
    <dxf>
      <font>
        <b val="1"/>
        <color rgb="009C0006"/>
        <sz val="12"/>
      </font>
      <fill>
        <patternFill patternType="solid">
          <fgColor rgb="00FFC7CE"/>
          <bgColor rgb="00FFC7CE"/>
        </patternFill>
      </fill>
    </dxf>
    <dxf>
      <font>
        <b val="1"/>
        <color rgb="00FFFFFF"/>
        <sz val="13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3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H5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8" customWidth="1" min="4" max="4"/>
    <col width="16" customWidth="1" min="5" max="5"/>
    <col width="18" customWidth="1" min="6" max="6"/>
    <col width="18" customWidth="1" min="7" max="7"/>
    <col width="20" customWidth="1" min="8" max="8"/>
    <col width="4" customWidth="1" min="9" max="9"/>
    <col width="22" customWidth="1" min="10" max="10"/>
  </cols>
  <sheetData>
    <row r="1" ht="35" customHeight="1">
      <c r="A1" s="84" t="inlineStr">
        <is>
          <t>DZIENNY TRACKER — CZY DZIŚ ZARABIAMY?</t>
        </is>
      </c>
      <c r="B1" s="85" t="n"/>
      <c r="C1" s="85" t="n"/>
      <c r="D1" s="85" t="n"/>
      <c r="E1" s="85" t="n"/>
      <c r="F1" s="85" t="n"/>
      <c r="G1" s="85" t="n"/>
      <c r="H1" s="85" t="n"/>
    </row>
    <row r="3">
      <c r="A3" s="86" t="inlineStr">
        <is>
          <t>KOSZTY STAŁE MIESIĘCZNE</t>
        </is>
      </c>
      <c r="B3" s="87" t="n"/>
      <c r="D3" s="88" t="inlineStr">
        <is>
          <t>SPRZEDAŻ DZIENNA — WPISUJ CODZIENNIE</t>
        </is>
      </c>
      <c r="E3" s="89" t="n"/>
      <c r="F3" s="89" t="n"/>
      <c r="G3" s="89" t="n"/>
      <c r="H3" s="89" t="n"/>
    </row>
    <row r="4" ht="25" customHeight="1">
      <c r="A4" s="90" t="inlineStr">
        <is>
          <t>Wynagrodzenia (Sp. z o.o.)</t>
        </is>
      </c>
      <c r="B4" s="91" t="n">
        <v>87539</v>
      </c>
      <c r="D4" s="92" t="inlineStr">
        <is>
          <t>Dzień</t>
        </is>
      </c>
      <c r="E4" s="92" t="inlineStr">
        <is>
          <t>Sprzedaż</t>
        </is>
      </c>
      <c r="F4" s="92" t="inlineStr">
        <is>
          <t>Zysk brutto</t>
        </is>
      </c>
      <c r="G4" s="92" t="inlineStr">
        <is>
          <t>Minus koszty</t>
        </is>
      </c>
      <c r="H4" s="92" t="inlineStr">
        <is>
          <t>Narastająco</t>
        </is>
      </c>
    </row>
    <row r="5">
      <c r="A5" s="93" t="inlineStr">
        <is>
          <t>Wynagrodzenia (JDG umowy)</t>
        </is>
      </c>
      <c r="B5" s="91" t="n">
        <v>22675</v>
      </c>
      <c r="D5" s="94" t="n">
        <v>1</v>
      </c>
      <c r="E5" s="95" t="n"/>
      <c r="F5" s="96">
        <f>IF(E5="","",ROUND(E5*$B$27,0))</f>
        <v/>
      </c>
      <c r="G5" s="97">
        <f>IF(E5="","",F5-$B$25)</f>
        <v/>
      </c>
      <c r="H5" s="97">
        <f>IF(E5="","",G5)</f>
        <v/>
      </c>
    </row>
    <row r="6">
      <c r="A6" s="90" t="inlineStr">
        <is>
          <t>Magazyn (najem)</t>
        </is>
      </c>
      <c r="B6" s="91" t="n">
        <v>10000</v>
      </c>
      <c r="D6" s="98" t="n">
        <v>2</v>
      </c>
      <c r="E6" s="95" t="n"/>
      <c r="F6" s="96">
        <f>IF(E6="","",ROUND(E6*$B$27,0))</f>
        <v/>
      </c>
      <c r="G6" s="97">
        <f>IF(E6="","",F6-$B$25)</f>
        <v/>
      </c>
      <c r="H6" s="97">
        <f>IF(E6="","",IF(H5="",G6,H5+G6))</f>
        <v/>
      </c>
    </row>
    <row r="7">
      <c r="A7" s="93" t="inlineStr">
        <is>
          <t>Księgowość</t>
        </is>
      </c>
      <c r="B7" s="91" t="n">
        <v>5845</v>
      </c>
      <c r="D7" s="94" t="n">
        <v>3</v>
      </c>
      <c r="E7" s="95" t="n"/>
      <c r="F7" s="96">
        <f>IF(E7="","",ROUND(E7*$B$27,0))</f>
        <v/>
      </c>
      <c r="G7" s="97">
        <f>IF(E7="","",F7-$B$25)</f>
        <v/>
      </c>
      <c r="H7" s="97">
        <f>IF(E7="","",IF(H6="",G7,H6+G7))</f>
        <v/>
      </c>
    </row>
    <row r="8">
      <c r="A8" s="90" t="inlineStr">
        <is>
          <t>Media (prąd, woda, śmieci)</t>
        </is>
      </c>
      <c r="B8" s="91" t="n">
        <v>1301</v>
      </c>
      <c r="D8" s="98" t="n">
        <v>4</v>
      </c>
      <c r="E8" s="95" t="n"/>
      <c r="F8" s="96">
        <f>IF(E8="","",ROUND(E8*$B$27,0))</f>
        <v/>
      </c>
      <c r="G8" s="97">
        <f>IF(E8="","",F8-$B$25)</f>
        <v/>
      </c>
      <c r="H8" s="97">
        <f>IF(E8="","",IF(H7="",G8,H7+G8))</f>
        <v/>
      </c>
    </row>
    <row r="9">
      <c r="A9" s="93" t="inlineStr">
        <is>
          <t>Paliwo</t>
        </is>
      </c>
      <c r="B9" s="91" t="n">
        <v>5000</v>
      </c>
      <c r="D9" s="94" t="n">
        <v>5</v>
      </c>
      <c r="E9" s="95" t="n"/>
      <c r="F9" s="96">
        <f>IF(E9="","",ROUND(E9*$B$27,0))</f>
        <v/>
      </c>
      <c r="G9" s="97">
        <f>IF(E9="","",F9-$B$25)</f>
        <v/>
      </c>
      <c r="H9" s="97">
        <f>IF(E9="","",IF(H8="",G9,H8+G9))</f>
        <v/>
      </c>
    </row>
    <row r="10">
      <c r="A10" s="90" t="inlineStr">
        <is>
          <t>Leasing Opel Movano</t>
        </is>
      </c>
      <c r="B10" s="91" t="n">
        <v>2475</v>
      </c>
      <c r="D10" s="98" t="n">
        <v>6</v>
      </c>
      <c r="E10" s="95" t="n"/>
      <c r="F10" s="96">
        <f>IF(E10="","",ROUND(E10*$B$27,0))</f>
        <v/>
      </c>
      <c r="G10" s="97">
        <f>IF(E10="","",F10-$B$25)</f>
        <v/>
      </c>
      <c r="H10" s="97">
        <f>IF(E10="","",IF(H9="",G10,H9+G10))</f>
        <v/>
      </c>
    </row>
    <row r="11">
      <c r="A11" s="93" t="inlineStr">
        <is>
          <t>Leasing Ford Custom</t>
        </is>
      </c>
      <c r="B11" s="91" t="n">
        <v>1687</v>
      </c>
      <c r="D11" s="94" t="n">
        <v>7</v>
      </c>
      <c r="E11" s="95" t="n"/>
      <c r="F11" s="96">
        <f>IF(E11="","",ROUND(E11*$B$27,0))</f>
        <v/>
      </c>
      <c r="G11" s="97">
        <f>IF(E11="","",F11-$B$25)</f>
        <v/>
      </c>
      <c r="H11" s="97">
        <f>IF(E11="","",IF(H10="",G11,H10+G11))</f>
        <v/>
      </c>
    </row>
    <row r="12">
      <c r="A12" s="90" t="inlineStr">
        <is>
          <t>Leasing 2x BMW</t>
        </is>
      </c>
      <c r="B12" s="91" t="n">
        <v>3298</v>
      </c>
      <c r="D12" s="98" t="n">
        <v>8</v>
      </c>
      <c r="E12" s="95" t="n"/>
      <c r="F12" s="96">
        <f>IF(E12="","",ROUND(E12*$B$27,0))</f>
        <v/>
      </c>
      <c r="G12" s="97">
        <f>IF(E12="","",F12-$B$25)</f>
        <v/>
      </c>
      <c r="H12" s="97">
        <f>IF(E12="","",IF(H11="",G12,H11+G12))</f>
        <v/>
      </c>
    </row>
    <row r="13">
      <c r="A13" s="93" t="inlineStr">
        <is>
          <t>Dzierżawa aut z JDG</t>
        </is>
      </c>
      <c r="B13" s="91" t="n">
        <v>3900</v>
      </c>
      <c r="D13" s="94" t="n">
        <v>9</v>
      </c>
      <c r="E13" s="95" t="n"/>
      <c r="F13" s="96">
        <f>IF(E13="","",ROUND(E13*$B$27,0))</f>
        <v/>
      </c>
      <c r="G13" s="97">
        <f>IF(E13="","",F13-$B$25)</f>
        <v/>
      </c>
      <c r="H13" s="97">
        <f>IF(E13="","",IF(H12="",G13,H12+G13))</f>
        <v/>
      </c>
    </row>
    <row r="14">
      <c r="A14" s="90" t="inlineStr">
        <is>
          <t>GPS (Widziszwszystko)</t>
        </is>
      </c>
      <c r="B14" s="91" t="n">
        <v>300</v>
      </c>
      <c r="D14" s="98" t="n">
        <v>10</v>
      </c>
      <c r="E14" s="95" t="n"/>
      <c r="F14" s="96">
        <f>IF(E14="","",ROUND(E14*$B$27,0))</f>
        <v/>
      </c>
      <c r="G14" s="97">
        <f>IF(E14="","",F14-$B$25)</f>
        <v/>
      </c>
      <c r="H14" s="97">
        <f>IF(E14="","",IF(H13="",G14,H13+G14))</f>
        <v/>
      </c>
    </row>
    <row r="15">
      <c r="A15" s="93" t="inlineStr">
        <is>
          <t>Zarządzanie operacyjne JDG</t>
        </is>
      </c>
      <c r="B15" s="91" t="n">
        <v>5000</v>
      </c>
      <c r="D15" s="94" t="n">
        <v>11</v>
      </c>
      <c r="E15" s="95" t="n"/>
      <c r="F15" s="96">
        <f>IF(E15="","",ROUND(E15*$B$27,0))</f>
        <v/>
      </c>
      <c r="G15" s="97">
        <f>IF(E15="","",F15-$B$25)</f>
        <v/>
      </c>
      <c r="H15" s="97">
        <f>IF(E15="","",IF(H14="",G15,H14+G15))</f>
        <v/>
      </c>
    </row>
    <row r="16">
      <c r="A16" s="90" t="inlineStr">
        <is>
          <t>Marketing</t>
        </is>
      </c>
      <c r="B16" s="91" t="n">
        <v>470</v>
      </c>
      <c r="D16" s="98" t="n">
        <v>12</v>
      </c>
      <c r="E16" s="95" t="n"/>
      <c r="F16" s="96">
        <f>IF(E16="","",ROUND(E16*$B$27,0))</f>
        <v/>
      </c>
      <c r="G16" s="97">
        <f>IF(E16="","",F16-$B$25)</f>
        <v/>
      </c>
      <c r="H16" s="97">
        <f>IF(E16="","",IF(H15="",G16,H15+G16))</f>
        <v/>
      </c>
    </row>
    <row r="17">
      <c r="A17" s="93" t="inlineStr">
        <is>
          <t>Finansowanie/raty</t>
        </is>
      </c>
      <c r="B17" s="91" t="n">
        <v>1824</v>
      </c>
      <c r="D17" s="94" t="n">
        <v>13</v>
      </c>
      <c r="E17" s="95" t="n"/>
      <c r="F17" s="96">
        <f>IF(E17="","",ROUND(E17*$B$27,0))</f>
        <v/>
      </c>
      <c r="G17" s="97">
        <f>IF(E17="","",F17-$B$25)</f>
        <v/>
      </c>
      <c r="H17" s="97">
        <f>IF(E17="","",IF(H16="",G17,H16+G17))</f>
        <v/>
      </c>
    </row>
    <row r="18">
      <c r="A18" s="90" t="inlineStr">
        <is>
          <t>Telekomunikacja</t>
        </is>
      </c>
      <c r="B18" s="91" t="n">
        <v>600</v>
      </c>
      <c r="D18" s="98" t="n">
        <v>14</v>
      </c>
      <c r="E18" s="95" t="n"/>
      <c r="F18" s="96">
        <f>IF(E18="","",ROUND(E18*$B$27,0))</f>
        <v/>
      </c>
      <c r="G18" s="97">
        <f>IF(E18="","",F18-$B$25)</f>
        <v/>
      </c>
      <c r="H18" s="97">
        <f>IF(E18="","",IF(H17="",G18,H17+G18))</f>
        <v/>
      </c>
    </row>
    <row r="19">
      <c r="A19" s="93" t="inlineStr">
        <is>
          <t>Artykuły biurowe + spożywcze</t>
        </is>
      </c>
      <c r="B19" s="91" t="n">
        <v>930</v>
      </c>
      <c r="D19" s="94" t="n">
        <v>15</v>
      </c>
      <c r="E19" s="95" t="n"/>
      <c r="F19" s="96">
        <f>IF(E19="","",ROUND(E19*$B$27,0))</f>
        <v/>
      </c>
      <c r="G19" s="97">
        <f>IF(E19="","",F19-$B$25)</f>
        <v/>
      </c>
      <c r="H19" s="97">
        <f>IF(E19="","",IF(H18="",G19,H18+G19))</f>
        <v/>
      </c>
    </row>
    <row r="20">
      <c r="A20" s="90" t="inlineStr">
        <is>
          <t>Ubezpieczenia</t>
        </is>
      </c>
      <c r="B20" s="91" t="n">
        <v>0</v>
      </c>
      <c r="D20" s="98" t="n">
        <v>16</v>
      </c>
      <c r="E20" s="95" t="n"/>
      <c r="F20" s="96">
        <f>IF(E20="","",ROUND(E20*$B$27,0))</f>
        <v/>
      </c>
      <c r="G20" s="97">
        <f>IF(E20="","",F20-$B$25)</f>
        <v/>
      </c>
      <c r="H20" s="97">
        <f>IF(E20="","",IF(H19="",G20,H19+G20))</f>
        <v/>
      </c>
    </row>
    <row r="21">
      <c r="A21" s="93" t="inlineStr">
        <is>
          <t>Inne stałe</t>
        </is>
      </c>
      <c r="B21" s="91" t="n">
        <v>700</v>
      </c>
      <c r="D21" s="94" t="n">
        <v>17</v>
      </c>
      <c r="E21" s="95" t="n"/>
      <c r="F21" s="96">
        <f>IF(E21="","",ROUND(E21*$B$27,0))</f>
        <v/>
      </c>
      <c r="G21" s="97">
        <f>IF(E21="","",F21-$B$25)</f>
        <v/>
      </c>
      <c r="H21" s="97">
        <f>IF(E21="","",IF(H20="",G21,H20+G21))</f>
        <v/>
      </c>
    </row>
    <row r="22">
      <c r="A22" s="99" t="inlineStr">
        <is>
          <t>SUMA KOSZTÓW STAŁYCH / MC</t>
        </is>
      </c>
      <c r="B22" s="100">
        <f>SUM(B4:B21)</f>
        <v/>
      </c>
      <c r="D22" s="98" t="n">
        <v>18</v>
      </c>
      <c r="E22" s="95" t="n"/>
      <c r="F22" s="96">
        <f>IF(E22="","",ROUND(E22*$B$27,0))</f>
        <v/>
      </c>
      <c r="G22" s="97">
        <f>IF(E22="","",F22-$B$25)</f>
        <v/>
      </c>
      <c r="H22" s="97">
        <f>IF(E22="","",IF(H21="",G22,H21+G22))</f>
        <v/>
      </c>
    </row>
    <row r="23">
      <c r="D23" s="94" t="n">
        <v>19</v>
      </c>
      <c r="E23" s="95" t="n"/>
      <c r="F23" s="96">
        <f>IF(E23="","",ROUND(E23*$B$27,0))</f>
        <v/>
      </c>
      <c r="G23" s="97">
        <f>IF(E23="","",F23-$B$25)</f>
        <v/>
      </c>
      <c r="H23" s="97">
        <f>IF(E23="","",IF(H22="",G23,H22+G23))</f>
        <v/>
      </c>
    </row>
    <row r="24">
      <c r="A24" s="101" t="inlineStr">
        <is>
          <t>Dni robocze w miesiącu</t>
        </is>
      </c>
      <c r="B24" s="102" t="n">
        <v>21</v>
      </c>
      <c r="D24" s="98" t="n">
        <v>20</v>
      </c>
      <c r="E24" s="95" t="n"/>
      <c r="F24" s="96">
        <f>IF(E24="","",ROUND(E24*$B$27,0))</f>
        <v/>
      </c>
      <c r="G24" s="97">
        <f>IF(E24="","",F24-$B$25)</f>
        <v/>
      </c>
      <c r="H24" s="97">
        <f>IF(E24="","",IF(H23="",G24,H23+G24))</f>
        <v/>
      </c>
    </row>
    <row r="25" ht="30" customHeight="1">
      <c r="A25" s="103" t="inlineStr">
        <is>
          <t>KOSZT DZIENNY (stałe/dzień)</t>
        </is>
      </c>
      <c r="B25" s="104">
        <f>ROUND(B22/B24,0)</f>
        <v/>
      </c>
      <c r="D25" s="94" t="n">
        <v>21</v>
      </c>
      <c r="E25" s="95" t="n"/>
      <c r="F25" s="96">
        <f>IF(E25="","",ROUND(E25*$B$27,0))</f>
        <v/>
      </c>
      <c r="G25" s="97">
        <f>IF(E25="","",F25-$B$25)</f>
        <v/>
      </c>
      <c r="H25" s="97">
        <f>IF(E25="","",IF(H24="",G25,H24+G25))</f>
        <v/>
      </c>
    </row>
    <row r="26">
      <c r="D26" s="98" t="n">
        <v>22</v>
      </c>
      <c r="E26" s="95" t="n"/>
      <c r="F26" s="96">
        <f>IF(E26="","",ROUND(E26*$B$27,0))</f>
        <v/>
      </c>
      <c r="G26" s="97">
        <f>IF(E26="","",F26-$B$25)</f>
        <v/>
      </c>
      <c r="H26" s="97">
        <f>IF(E26="","",IF(H25="",G26,H25+G26))</f>
        <v/>
      </c>
    </row>
    <row r="27">
      <c r="A27" s="101" t="inlineStr">
        <is>
          <t>Marża na sprzedaży</t>
        </is>
      </c>
      <c r="B27" s="105" t="n">
        <v>0.354</v>
      </c>
      <c r="D27" s="94" t="n">
        <v>23</v>
      </c>
      <c r="E27" s="95" t="n"/>
      <c r="F27" s="96">
        <f>IF(E27="","",ROUND(E27*$B$27,0))</f>
        <v/>
      </c>
      <c r="G27" s="97">
        <f>IF(E27="","",F27-$B$25)</f>
        <v/>
      </c>
      <c r="H27" s="97">
        <f>IF(E27="","",IF(H26="",G27,H26+G27))</f>
        <v/>
      </c>
    </row>
    <row r="28" ht="30" customHeight="1">
      <c r="A28" s="106" t="inlineStr">
        <is>
          <t>MIN. OBRÓT DZIENNY (break-even)</t>
        </is>
      </c>
      <c r="B28" s="107">
        <f>ROUND(B25/B27,0)</f>
        <v/>
      </c>
      <c r="D28" s="98" t="n">
        <v>24</v>
      </c>
      <c r="E28" s="95" t="n"/>
      <c r="F28" s="96">
        <f>IF(E28="","",ROUND(E28*$B$27,0))</f>
        <v/>
      </c>
      <c r="G28" s="97">
        <f>IF(E28="","",F28-$B$25)</f>
        <v/>
      </c>
      <c r="H28" s="97">
        <f>IF(E28="","",IF(H27="",G28,H27+G28))</f>
        <v/>
      </c>
    </row>
    <row r="29">
      <c r="D29" s="94" t="n">
        <v>25</v>
      </c>
      <c r="E29" s="95" t="n"/>
      <c r="F29" s="96">
        <f>IF(E29="","",ROUND(E29*$B$27,0))</f>
        <v/>
      </c>
      <c r="G29" s="97">
        <f>IF(E29="","",F29-$B$25)</f>
        <v/>
      </c>
      <c r="H29" s="97">
        <f>IF(E29="","",IF(H28="",G29,H28+G29))</f>
        <v/>
      </c>
    </row>
    <row r="30">
      <c r="A30" s="108" t="inlineStr">
        <is>
          <t>^ Tyle musisz sprzedać dziennie, żeby wyjść na ZERO</t>
        </is>
      </c>
      <c r="D30" s="98" t="n">
        <v>26</v>
      </c>
      <c r="E30" s="95" t="n"/>
      <c r="F30" s="96">
        <f>IF(E30="","",ROUND(E30*$B$27,0))</f>
        <v/>
      </c>
      <c r="G30" s="97">
        <f>IF(E30="","",F30-$B$25)</f>
        <v/>
      </c>
      <c r="H30" s="97">
        <f>IF(E30="","",IF(H29="",G30,H29+G30))</f>
        <v/>
      </c>
    </row>
    <row r="31">
      <c r="D31" s="94" t="n">
        <v>27</v>
      </c>
      <c r="E31" s="95" t="n"/>
      <c r="F31" s="96">
        <f>IF(E31="","",ROUND(E31*$B$27,0))</f>
        <v/>
      </c>
      <c r="G31" s="97">
        <f>IF(E31="","",F31-$B$25)</f>
        <v/>
      </c>
      <c r="H31" s="97">
        <f>IF(E31="","",IF(H30="",G31,H30+G31))</f>
        <v/>
      </c>
    </row>
    <row r="32">
      <c r="D32" s="98" t="n">
        <v>28</v>
      </c>
      <c r="E32" s="95" t="n"/>
      <c r="F32" s="96">
        <f>IF(E32="","",ROUND(E32*$B$27,0))</f>
        <v/>
      </c>
      <c r="G32" s="97">
        <f>IF(E32="","",F32-$B$25)</f>
        <v/>
      </c>
      <c r="H32" s="97">
        <f>IF(E32="","",IF(H31="",G32,H31+G32))</f>
        <v/>
      </c>
    </row>
    <row r="33">
      <c r="D33" s="94" t="n">
        <v>29</v>
      </c>
      <c r="E33" s="95" t="n"/>
      <c r="F33" s="96">
        <f>IF(E33="","",ROUND(E33*$B$27,0))</f>
        <v/>
      </c>
      <c r="G33" s="97">
        <f>IF(E33="","",F33-$B$25)</f>
        <v/>
      </c>
      <c r="H33" s="97">
        <f>IF(E33="","",IF(H32="",G33,H32+G33))</f>
        <v/>
      </c>
    </row>
    <row r="34">
      <c r="D34" s="98" t="n">
        <v>30</v>
      </c>
      <c r="E34" s="95" t="n"/>
      <c r="F34" s="96">
        <f>IF(E34="","",ROUND(E34*$B$27,0))</f>
        <v/>
      </c>
      <c r="G34" s="97">
        <f>IF(E34="","",F34-$B$25)</f>
        <v/>
      </c>
      <c r="H34" s="97">
        <f>IF(E34="","",IF(H33="",G34,H33+G34))</f>
        <v/>
      </c>
    </row>
    <row r="35">
      <c r="D35" s="94" t="n">
        <v>31</v>
      </c>
      <c r="E35" s="95" t="n"/>
      <c r="F35" s="96">
        <f>IF(E35="","",ROUND(E35*$B$27,0))</f>
        <v/>
      </c>
      <c r="G35" s="97">
        <f>IF(E35="","",F35-$B$25)</f>
        <v/>
      </c>
      <c r="H35" s="97">
        <f>IF(E35="","",IF(H34="",G35,H34+G35))</f>
        <v/>
      </c>
    </row>
    <row r="36">
      <c r="D36" s="109" t="inlineStr">
        <is>
          <t>SUMA</t>
        </is>
      </c>
      <c r="E36" s="110">
        <f>SUM(E5:E35)</f>
        <v/>
      </c>
      <c r="F36" s="110">
        <f>SUM(F5:F35)</f>
        <v/>
      </c>
      <c r="G36" s="110">
        <f>SUM(G5:G35)</f>
        <v/>
      </c>
      <c r="H36" s="110">
        <f>H35</f>
        <v/>
      </c>
    </row>
    <row r="38">
      <c r="D38" s="111" t="inlineStr">
        <is>
          <t>PODSUMOWANIE MIESIĄCA</t>
        </is>
      </c>
      <c r="E38" s="85" t="n"/>
      <c r="F38" s="85" t="n"/>
      <c r="G38" s="85" t="n"/>
      <c r="H38" s="85" t="n"/>
    </row>
    <row r="39">
      <c r="D39" s="112" t="inlineStr">
        <is>
          <t>Sprzedaż miesiąca</t>
        </is>
      </c>
      <c r="E39" s="113">
        <f>E36</f>
        <v/>
      </c>
      <c r="F39" s="114" t="n"/>
    </row>
    <row r="40">
      <c r="D40" s="112" t="inlineStr">
        <is>
          <t>Zysk brutto (po marży)</t>
        </is>
      </c>
      <c r="E40" s="113">
        <f>F36</f>
        <v/>
      </c>
      <c r="F40" s="114" t="n"/>
    </row>
    <row r="41">
      <c r="D41" s="112" t="inlineStr">
        <is>
          <t>Koszty stałe miesiąca</t>
        </is>
      </c>
      <c r="E41" s="113">
        <f>B22</f>
        <v/>
      </c>
      <c r="F41" s="114" t="n"/>
    </row>
    <row r="42" ht="28" customHeight="1">
      <c r="D42" s="115" t="inlineStr">
        <is>
          <t>WYNIK MIESIĄCA</t>
        </is>
      </c>
      <c r="E42" s="116">
        <f>F36-B22</f>
        <v/>
      </c>
      <c r="F42" s="85" t="n"/>
    </row>
    <row r="43">
      <c r="D43" s="112" t="inlineStr">
        <is>
          <t>Dni z wpisaną sprzedażą</t>
        </is>
      </c>
      <c r="E43" s="117">
        <f>COUNTA(E5:E35)</f>
        <v/>
      </c>
      <c r="F43" s="114" t="n"/>
    </row>
    <row r="44">
      <c r="D44" s="112" t="inlineStr">
        <is>
          <t>Średnia sprzedaż/dzień</t>
        </is>
      </c>
      <c r="E44" s="113">
        <f>IF(COUNTA(E5:E35)=0,"",E36/COUNTA(E5:E35))</f>
        <v/>
      </c>
      <c r="F44" s="114" t="n"/>
    </row>
    <row r="47">
      <c r="D47" s="118" t="inlineStr">
        <is>
          <t>LEGENDA:</t>
        </is>
      </c>
    </row>
    <row r="48">
      <c r="D48" s="108" t="inlineStr">
        <is>
          <t>Żółte komórki = tu wpisuj sprzedaż dnia</t>
        </is>
      </c>
    </row>
    <row r="49">
      <c r="D49" s="108" t="inlineStr">
        <is>
          <t>Zielone = zarabiasz, Czerwone = dokładasz</t>
        </is>
      </c>
    </row>
    <row r="50">
      <c r="D50" s="108" t="inlineStr">
        <is>
          <t>Kolumna "Narastająco" = wynik od początku miesiąca</t>
        </is>
      </c>
    </row>
  </sheetData>
  <mergeCells count="10">
    <mergeCell ref="E43:F43"/>
    <mergeCell ref="A3:B3"/>
    <mergeCell ref="E41:F41"/>
    <mergeCell ref="E44:F44"/>
    <mergeCell ref="E42:F42"/>
    <mergeCell ref="D38:H38"/>
    <mergeCell ref="A1:H1"/>
    <mergeCell ref="E40:F40"/>
    <mergeCell ref="E39:F39"/>
    <mergeCell ref="D3:H3"/>
  </mergeCells>
  <conditionalFormatting sqref="G5:G3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5:H3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42">
    <cfRule type="cellIs" priority="5" operator="greaterThan" dxfId="2">
      <formula>0</formula>
    </cfRule>
    <cfRule type="cellIs" priority="6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O44"/>
  <sheetViews>
    <sheetView tabSelected="1" zoomScale="90" zoomScaleNormal="90" workbookViewId="0">
      <pane xSplit="1" ySplit="5" topLeftCell="C6" activePane="bottomRight" state="frozen"/>
      <selection pane="topRight" activeCell="A1" sqref="A1"/>
      <selection pane="bottomLeft" activeCell="A1" sqref="A1"/>
      <selection pane="bottomRight" activeCell="C13" sqref="C13"/>
    </sheetView>
  </sheetViews>
  <sheetFormatPr baseColWidth="8" defaultRowHeight="14.25"/>
  <cols>
    <col width="30" customWidth="1" min="1" max="1"/>
    <col width="14" customWidth="1" min="2" max="13"/>
    <col width="16" customWidth="1" min="14" max="14"/>
    <col width="14" customWidth="1" min="15" max="15"/>
    <col width="16" customWidth="1" min="16" max="16"/>
  </cols>
  <sheetData>
    <row r="1" ht="21" customHeight="1">
      <c r="A1" s="61" t="inlineStr">
        <is>
          <t>BUDŻET 2026 — ADD ALL SP. Z O.O.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  <c r="O1" s="62" t="n"/>
    </row>
    <row r="2">
      <c r="A2" s="2" t="inlineStr">
        <is>
          <t>Data utworzenia:</t>
        </is>
      </c>
      <c r="B2" s="3" t="inlineStr">
        <is>
          <t>2026-02-08</t>
        </is>
      </c>
      <c r="E2" s="4" t="inlineStr">
        <is>
          <t>Waluta: PLN</t>
        </is>
      </c>
    </row>
    <row r="4" ht="15.75" customHeight="1">
      <c r="A4" s="5" t="inlineStr">
        <is>
          <t>PRZYCHODY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</row>
    <row r="5">
      <c r="A5" s="7" t="inlineStr">
        <is>
          <t>Kategoria</t>
        </is>
      </c>
      <c r="B5" s="7" t="inlineStr">
        <is>
          <t>Sty</t>
        </is>
      </c>
      <c r="C5" s="7" t="inlineStr">
        <is>
          <t>Lut</t>
        </is>
      </c>
      <c r="D5" s="7" t="inlineStr">
        <is>
          <t>Mar</t>
        </is>
      </c>
      <c r="E5" s="7" t="inlineStr">
        <is>
          <t>Kwi</t>
        </is>
      </c>
      <c r="F5" s="7" t="inlineStr">
        <is>
          <t>Maj</t>
        </is>
      </c>
      <c r="G5" s="7" t="inlineStr">
        <is>
          <t>Cze</t>
        </is>
      </c>
      <c r="H5" s="7" t="inlineStr">
        <is>
          <t>Lip</t>
        </is>
      </c>
      <c r="I5" s="7" t="inlineStr">
        <is>
          <t>Sie</t>
        </is>
      </c>
      <c r="J5" s="7" t="inlineStr">
        <is>
          <t>Wrz</t>
        </is>
      </c>
      <c r="K5" s="7" t="inlineStr">
        <is>
          <t>Paź</t>
        </is>
      </c>
      <c r="L5" s="7" t="inlineStr">
        <is>
          <t>Lis</t>
        </is>
      </c>
      <c r="M5" s="7" t="inlineStr">
        <is>
          <t>Gru</t>
        </is>
      </c>
      <c r="N5" s="7" t="inlineStr">
        <is>
          <t>RAZEM ROK</t>
        </is>
      </c>
      <c r="O5" s="7" t="inlineStr">
        <is>
          <t>% PLANU</t>
        </is>
      </c>
    </row>
    <row r="6">
      <c r="A6" s="8" t="inlineStr">
        <is>
          <t>Sprzedaż produktów</t>
        </is>
      </c>
      <c r="B6" s="9" t="n">
        <v>450000</v>
      </c>
      <c r="C6" s="9" t="n">
        <v>450000</v>
      </c>
      <c r="D6" s="9" t="n">
        <v>450000</v>
      </c>
      <c r="E6" s="9" t="n">
        <v>450000</v>
      </c>
      <c r="F6" s="9" t="n">
        <v>450000</v>
      </c>
      <c r="G6" s="9" t="n">
        <v>450000</v>
      </c>
      <c r="H6" s="9" t="n">
        <v>450000</v>
      </c>
      <c r="I6" s="9" t="n">
        <v>450000</v>
      </c>
      <c r="J6" s="9" t="n">
        <v>450000</v>
      </c>
      <c r="K6" s="9" t="n">
        <v>450000</v>
      </c>
      <c r="L6" s="9" t="n">
        <v>450000</v>
      </c>
      <c r="M6" s="9" t="n">
        <v>450000</v>
      </c>
      <c r="N6" s="10">
        <f>SUM(B6:M6)</f>
        <v/>
      </c>
    </row>
    <row r="7">
      <c r="A7" s="8" t="inlineStr">
        <is>
          <t>Przychody zewnętrzne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10">
        <f>SUM(B7:M7)</f>
        <v/>
      </c>
    </row>
    <row r="8">
      <c r="A8" s="8" t="inlineStr">
        <is>
          <t>Przychody wewnętrzne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0">
        <f>SUM(B8:M8)</f>
        <v/>
      </c>
    </row>
    <row r="9">
      <c r="A9" s="11" t="inlineStr">
        <is>
          <t>PRZYCHODY OGÓŁEM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>
        <f>SUM(H6:H8)</f>
        <v/>
      </c>
      <c r="I9" s="12">
        <f>SUM(I6:I8)</f>
        <v/>
      </c>
      <c r="J9" s="12">
        <f>SUM(J6:J8)</f>
        <v/>
      </c>
      <c r="K9" s="12">
        <f>SUM(K6:K8)</f>
        <v/>
      </c>
      <c r="L9" s="12">
        <f>SUM(L6:L8)</f>
        <v/>
      </c>
      <c r="M9" s="12">
        <f>SUM(M6:M8)</f>
        <v/>
      </c>
      <c r="N9" s="12">
        <f>SUM(B9:M9)</f>
        <v/>
      </c>
      <c r="O9" s="11" t="n"/>
    </row>
    <row r="11" ht="15.75" customHeight="1">
      <c r="A11" s="13" t="inlineStr">
        <is>
          <t>KOSZTY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7" t="inlineStr">
        <is>
          <t>Kategoria</t>
        </is>
      </c>
      <c r="B12" s="7" t="inlineStr">
        <is>
          <t>Sty</t>
        </is>
      </c>
      <c r="C12" s="7" t="inlineStr">
        <is>
          <t>Lut</t>
        </is>
      </c>
      <c r="D12" s="7" t="inlineStr">
        <is>
          <t>Mar</t>
        </is>
      </c>
      <c r="E12" s="7" t="inlineStr">
        <is>
          <t>Kwi</t>
        </is>
      </c>
      <c r="F12" s="7" t="inlineStr">
        <is>
          <t>Maj</t>
        </is>
      </c>
      <c r="G12" s="7" t="inlineStr">
        <is>
          <t>Cze</t>
        </is>
      </c>
      <c r="H12" s="7" t="inlineStr">
        <is>
          <t>Lip</t>
        </is>
      </c>
      <c r="I12" s="7" t="inlineStr">
        <is>
          <t>Sie</t>
        </is>
      </c>
      <c r="J12" s="7" t="inlineStr">
        <is>
          <t>Wrz</t>
        </is>
      </c>
      <c r="K12" s="7" t="inlineStr">
        <is>
          <t>Paź</t>
        </is>
      </c>
      <c r="L12" s="7" t="inlineStr">
        <is>
          <t>Lis</t>
        </is>
      </c>
      <c r="M12" s="7" t="inlineStr">
        <is>
          <t>Gru</t>
        </is>
      </c>
      <c r="N12" s="7" t="inlineStr">
        <is>
          <t>RAZEM ROK</t>
        </is>
      </c>
      <c r="O12" s="7" t="inlineStr">
        <is>
          <t>% PRZYCH.</t>
        </is>
      </c>
    </row>
    <row r="13">
      <c r="A13" s="8" t="inlineStr">
        <is>
          <t>Zakupy towarów</t>
        </is>
      </c>
      <c r="B13" s="9" t="n">
        <v>290700</v>
      </c>
      <c r="C13" s="9" t="n">
        <v>290700</v>
      </c>
      <c r="D13" s="9" t="n">
        <v>290700</v>
      </c>
      <c r="E13" s="9" t="n">
        <v>290700</v>
      </c>
      <c r="F13" s="9" t="n">
        <v>290700</v>
      </c>
      <c r="G13" s="9" t="n">
        <v>290700</v>
      </c>
      <c r="H13" s="9" t="n">
        <v>290700</v>
      </c>
      <c r="I13" s="9" t="n">
        <v>290700</v>
      </c>
      <c r="J13" s="9" t="n">
        <v>290700</v>
      </c>
      <c r="K13" s="9" t="n">
        <v>290700</v>
      </c>
      <c r="L13" s="9" t="n">
        <v>290700</v>
      </c>
      <c r="M13" s="9" t="n">
        <v>290700</v>
      </c>
      <c r="N13" s="10">
        <f>SUM(B13:M13)</f>
        <v/>
      </c>
      <c r="O13" s="15">
        <f>IF(N9=0,"",N13/N9)</f>
        <v/>
      </c>
    </row>
    <row r="14">
      <c r="A14" s="8" t="inlineStr">
        <is>
          <t>Prowizje</t>
        </is>
      </c>
      <c r="B14" s="9" t="n">
        <v>4250</v>
      </c>
      <c r="C14" s="9" t="n">
        <v>4250</v>
      </c>
      <c r="D14" s="9" t="n">
        <v>4250</v>
      </c>
      <c r="E14" s="9" t="n">
        <v>4250</v>
      </c>
      <c r="F14" s="9" t="n">
        <v>4250</v>
      </c>
      <c r="G14" s="9" t="n">
        <v>4250</v>
      </c>
      <c r="H14" s="9" t="n">
        <v>4250</v>
      </c>
      <c r="I14" s="9" t="n">
        <v>4250</v>
      </c>
      <c r="J14" s="9" t="n">
        <v>4250</v>
      </c>
      <c r="K14" s="9" t="n">
        <v>4250</v>
      </c>
      <c r="L14" s="9" t="n">
        <v>4250</v>
      </c>
      <c r="M14" s="9" t="n">
        <v>4250</v>
      </c>
      <c r="N14" s="10">
        <f>SUM(B14:M14)</f>
        <v/>
      </c>
      <c r="O14" s="15">
        <f>IF(N9=0,"",N14/N9)</f>
        <v/>
      </c>
    </row>
    <row r="15">
      <c r="A15" s="8" t="inlineStr">
        <is>
          <t>Wynagrodzenia</t>
        </is>
      </c>
      <c r="B15" s="16">
        <f>'WYNAGRODZENIA 2026'!F2</f>
        <v/>
      </c>
      <c r="C15" s="16">
        <f>'WYNAGRODZENIA 2026'!G2</f>
        <v/>
      </c>
      <c r="D15" s="16">
        <f>'WYNAGRODZENIA 2026'!H2</f>
        <v/>
      </c>
      <c r="E15" s="16">
        <f>'WYNAGRODZENIA 2026'!I2</f>
        <v/>
      </c>
      <c r="F15" s="16">
        <f>'WYNAGRODZENIA 2026'!J2</f>
        <v/>
      </c>
      <c r="G15" s="16">
        <f>'WYNAGRODZENIA 2026'!K2</f>
        <v/>
      </c>
      <c r="H15" s="16">
        <f>'WYNAGRODZENIA 2026'!L2</f>
        <v/>
      </c>
      <c r="I15" s="16">
        <f>'WYNAGRODZENIA 2026'!M2</f>
        <v/>
      </c>
      <c r="J15" s="16">
        <f>'WYNAGRODZENIA 2026'!N2</f>
        <v/>
      </c>
      <c r="K15" s="16">
        <f>'WYNAGRODZENIA 2026'!O2</f>
        <v/>
      </c>
      <c r="L15" s="16">
        <f>'WYNAGRODZENIA 2026'!P2</f>
        <v/>
      </c>
      <c r="M15" s="16">
        <f>'WYNAGRODZENIA 2026'!Q2</f>
        <v/>
      </c>
      <c r="N15" s="10">
        <f>SUM(B15:M15)</f>
        <v/>
      </c>
      <c r="O15" s="15">
        <f>IF(N9=0,"",N15/N9)</f>
        <v/>
      </c>
    </row>
    <row r="16">
      <c r="A16" s="8" t="inlineStr">
        <is>
          <t>Koszty operacyjne</t>
        </is>
      </c>
      <c r="B16" s="16">
        <f>'OPERACYJNE 2026'!F2</f>
        <v/>
      </c>
      <c r="C16" s="16">
        <f>'OPERACYJNE 2026'!G2</f>
        <v/>
      </c>
      <c r="D16" s="16">
        <f>'OPERACYJNE 2026'!H2</f>
        <v/>
      </c>
      <c r="E16" s="16">
        <f>'OPERACYJNE 2026'!I2</f>
        <v/>
      </c>
      <c r="F16" s="16">
        <f>'OPERACYJNE 2026'!J2</f>
        <v/>
      </c>
      <c r="G16" s="16">
        <f>'OPERACYJNE 2026'!K2</f>
        <v/>
      </c>
      <c r="H16" s="16">
        <f>'OPERACYJNE 2026'!L2</f>
        <v/>
      </c>
      <c r="I16" s="16">
        <f>'OPERACYJNE 2026'!M2</f>
        <v/>
      </c>
      <c r="J16" s="16">
        <f>'OPERACYJNE 2026'!N2</f>
        <v/>
      </c>
      <c r="K16" s="16">
        <f>'OPERACYJNE 2026'!O2</f>
        <v/>
      </c>
      <c r="L16" s="16">
        <f>'OPERACYJNE 2026'!P2</f>
        <v/>
      </c>
      <c r="M16" s="16">
        <f>'OPERACYJNE 2026'!Q2</f>
        <v/>
      </c>
      <c r="N16" s="10">
        <f>SUM(B16:M16)</f>
        <v/>
      </c>
      <c r="O16" s="15">
        <f>IF(N9=0,"",N16/N9)</f>
        <v/>
      </c>
    </row>
    <row r="17">
      <c r="A17" s="8" t="inlineStr">
        <is>
          <t>Samochody / Amortyzacja</t>
        </is>
      </c>
      <c r="B17" s="16">
        <f>'SAMOCHODY 2026'!F2</f>
        <v/>
      </c>
      <c r="C17" s="16">
        <f>'SAMOCHODY 2026'!G2</f>
        <v/>
      </c>
      <c r="D17" s="16">
        <f>'SAMOCHODY 2026'!H2</f>
        <v/>
      </c>
      <c r="E17" s="16">
        <f>'SAMOCHODY 2026'!I2</f>
        <v/>
      </c>
      <c r="F17" s="16">
        <f>'SAMOCHODY 2026'!J2</f>
        <v/>
      </c>
      <c r="G17" s="16">
        <f>'SAMOCHODY 2026'!K2</f>
        <v/>
      </c>
      <c r="H17" s="16">
        <f>'SAMOCHODY 2026'!L2</f>
        <v/>
      </c>
      <c r="I17" s="16">
        <f>'SAMOCHODY 2026'!M2</f>
        <v/>
      </c>
      <c r="J17" s="16">
        <f>'SAMOCHODY 2026'!N2</f>
        <v/>
      </c>
      <c r="K17" s="16">
        <f>'SAMOCHODY 2026'!O2</f>
        <v/>
      </c>
      <c r="L17" s="16">
        <f>'SAMOCHODY 2026'!P2</f>
        <v/>
      </c>
      <c r="M17" s="16">
        <f>'SAMOCHODY 2026'!Q2</f>
        <v/>
      </c>
      <c r="N17" s="10">
        <f>SUM(B17:M17)</f>
        <v/>
      </c>
      <c r="O17" s="15">
        <f>IF(N9=0,"",N17/N9)</f>
        <v/>
      </c>
    </row>
    <row r="18">
      <c r="A18" s="17" t="inlineStr">
        <is>
          <t>KOSZTY OGÓŁEM</t>
        </is>
      </c>
      <c r="B18" s="18">
        <f>SUM(B13:B17)</f>
        <v/>
      </c>
      <c r="C18" s="18">
        <f>SUM(C13:C17)</f>
        <v/>
      </c>
      <c r="D18" s="18">
        <f>SUM(D13:D17)</f>
        <v/>
      </c>
      <c r="E18" s="18">
        <f>SUM(E13:E17)</f>
        <v/>
      </c>
      <c r="F18" s="18">
        <f>SUM(F13:F17)</f>
        <v/>
      </c>
      <c r="G18" s="18">
        <f>SUM(G13:G17)</f>
        <v/>
      </c>
      <c r="H18" s="18">
        <f>SUM(H13:H17)</f>
        <v/>
      </c>
      <c r="I18" s="18">
        <f>SUM(I13:I17)</f>
        <v/>
      </c>
      <c r="J18" s="18">
        <f>SUM(J13:J17)</f>
        <v/>
      </c>
      <c r="K18" s="18">
        <f>SUM(K13:K17)</f>
        <v/>
      </c>
      <c r="L18" s="18">
        <f>SUM(L13:L17)</f>
        <v/>
      </c>
      <c r="M18" s="18">
        <f>SUM(M13:M17)</f>
        <v/>
      </c>
      <c r="N18" s="18">
        <f>SUM(B18:M18)</f>
        <v/>
      </c>
      <c r="O18" s="19">
        <f>IF(N9=0,"",N18/N9)</f>
        <v/>
      </c>
    </row>
    <row r="20">
      <c r="A20" s="20" t="inlineStr">
        <is>
          <t>WYNIK BRUTTO (Zysk/Strata)</t>
        </is>
      </c>
      <c r="B20" s="21">
        <f>B9-B18</f>
        <v/>
      </c>
      <c r="C20" s="21">
        <f>C9-C18</f>
        <v/>
      </c>
      <c r="D20" s="21">
        <f>D9-D18</f>
        <v/>
      </c>
      <c r="E20" s="21">
        <f>E9-E18</f>
        <v/>
      </c>
      <c r="F20" s="21">
        <f>F9-F18</f>
        <v/>
      </c>
      <c r="G20" s="21">
        <f>G9-G18</f>
        <v/>
      </c>
      <c r="H20" s="21">
        <f>H9-H18</f>
        <v/>
      </c>
      <c r="I20" s="21">
        <f>I9-I18</f>
        <v/>
      </c>
      <c r="J20" s="21">
        <f>J9-J18</f>
        <v/>
      </c>
      <c r="K20" s="21">
        <f>K9-K18</f>
        <v/>
      </c>
      <c r="L20" s="21">
        <f>L9-L18</f>
        <v/>
      </c>
      <c r="M20" s="21">
        <f>M9-M18</f>
        <v/>
      </c>
      <c r="N20" s="21">
        <f>SUM(B20:M20)</f>
        <v/>
      </c>
      <c r="O20" s="20" t="n"/>
    </row>
    <row r="21">
      <c r="A21" s="22" t="inlineStr">
        <is>
          <t>WYNIK NARASTAJĄCO</t>
        </is>
      </c>
      <c r="B21" s="23">
        <f>B20</f>
        <v/>
      </c>
      <c r="C21" s="23">
        <f>B21+C20</f>
        <v/>
      </c>
      <c r="D21" s="23">
        <f>C21+D20</f>
        <v/>
      </c>
      <c r="E21" s="23">
        <f>D21+E20</f>
        <v/>
      </c>
      <c r="F21" s="23">
        <f>E21+F20</f>
        <v/>
      </c>
      <c r="G21" s="23">
        <f>F21+G20</f>
        <v/>
      </c>
      <c r="H21" s="23">
        <f>G21+H20</f>
        <v/>
      </c>
      <c r="I21" s="23">
        <f>H21+I20</f>
        <v/>
      </c>
      <c r="J21" s="23">
        <f>I21+J20</f>
        <v/>
      </c>
      <c r="K21" s="23">
        <f>J21+K20</f>
        <v/>
      </c>
      <c r="L21" s="23">
        <f>K21+L20</f>
        <v/>
      </c>
      <c r="M21" s="23">
        <f>L21+M20</f>
        <v/>
      </c>
    </row>
    <row r="22">
      <c r="A22" s="24" t="inlineStr">
        <is>
          <t>RENTOWNOŚĆ MIESIĘCZNA</t>
        </is>
      </c>
      <c r="B22" s="25">
        <f>IF(B9=0,"",B20/B9)</f>
        <v/>
      </c>
      <c r="C22" s="25">
        <f>IF(C9=0,"",C20/C9)</f>
        <v/>
      </c>
      <c r="D22" s="25">
        <f>IF(D9=0,"",D20/D9)</f>
        <v/>
      </c>
      <c r="E22" s="25">
        <f>IF(E9=0,"",E20/E9)</f>
        <v/>
      </c>
      <c r="F22" s="25">
        <f>IF(F9=0,"",F20/F9)</f>
        <v/>
      </c>
      <c r="G22" s="25">
        <f>IF(G9=0,"",G20/G9)</f>
        <v/>
      </c>
      <c r="H22" s="25">
        <f>IF(H9=0,"",H20/H9)</f>
        <v/>
      </c>
      <c r="I22" s="25">
        <f>IF(I9=0,"",I20/I9)</f>
        <v/>
      </c>
      <c r="J22" s="25">
        <f>IF(J9=0,"",J20/J9)</f>
        <v/>
      </c>
      <c r="K22" s="25">
        <f>IF(K9=0,"",K20/K9)</f>
        <v/>
      </c>
      <c r="L22" s="25">
        <f>IF(L9=0,"",L20/L9)</f>
        <v/>
      </c>
      <c r="M22" s="25">
        <f>IF(M9=0,"",M20/M9)</f>
        <v/>
      </c>
    </row>
    <row r="24" ht="15.75" customHeight="1">
      <c r="A24" s="59" t="inlineStr">
        <is>
          <t>UMOWY Z ADDALL JDG</t>
        </is>
      </c>
      <c r="B24" s="119" t="n"/>
      <c r="C24" s="119" t="n"/>
      <c r="D24" s="120" t="n"/>
    </row>
    <row r="25">
      <c r="A25" s="7" t="inlineStr">
        <is>
          <t>Umowa</t>
        </is>
      </c>
      <c r="B25" s="7" t="inlineStr">
        <is>
          <t>Koszt netto</t>
        </is>
      </c>
      <c r="C25" s="7" t="inlineStr">
        <is>
          <t>Kategoria</t>
        </is>
      </c>
      <c r="D25" s="7" t="inlineStr">
        <is>
          <t>Płatność</t>
        </is>
      </c>
    </row>
    <row r="26">
      <c r="A26" s="27" t="inlineStr">
        <is>
          <t>Umowa menadżerska - A. Rękawek</t>
        </is>
      </c>
      <c r="B26" s="28" t="n">
        <v>11850</v>
      </c>
      <c r="C26" s="27" t="inlineStr">
        <is>
          <t>Wynagrodzenia</t>
        </is>
      </c>
      <c r="D26" s="27" t="inlineStr">
        <is>
          <t>Przelew</t>
        </is>
      </c>
    </row>
    <row r="27">
      <c r="A27" s="27" t="inlineStr">
        <is>
          <t>Umowa dysponowania pracownikami</t>
        </is>
      </c>
      <c r="B27" s="28" t="n">
        <v>22674.54</v>
      </c>
      <c r="C27" s="27" t="inlineStr">
        <is>
          <t>Wynagrodzenia</t>
        </is>
      </c>
      <c r="D27" s="27" t="inlineStr">
        <is>
          <t>Przelew</t>
        </is>
      </c>
    </row>
    <row r="28">
      <c r="A28" s="27" t="inlineStr">
        <is>
          <t>Umowa zarządzania operacyjnego</t>
        </is>
      </c>
      <c r="B28" s="28" t="n">
        <v>5000</v>
      </c>
      <c r="C28" s="27" t="inlineStr">
        <is>
          <t>Operacyjny</t>
        </is>
      </c>
      <c r="D28" s="27" t="inlineStr">
        <is>
          <t>Gotówka</t>
        </is>
      </c>
    </row>
    <row r="29">
      <c r="A29" s="27" t="inlineStr">
        <is>
          <t>Umowa dzierżawy</t>
        </is>
      </c>
      <c r="B29" s="28" t="n">
        <v>3900</v>
      </c>
      <c r="C29" s="27" t="inlineStr">
        <is>
          <t>Samochody</t>
        </is>
      </c>
      <c r="D29" s="27" t="inlineStr">
        <is>
          <t>Gotówka</t>
        </is>
      </c>
    </row>
    <row r="32" ht="15.75" customHeight="1">
      <c r="A32" s="57" t="inlineStr">
        <is>
          <t>KOSZTY WYNAGRODZEŃ WG DZIAŁÓW (miesięcznie)</t>
        </is>
      </c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20" t="n"/>
    </row>
    <row r="33">
      <c r="A33" s="7" t="inlineStr">
        <is>
          <t>Dział</t>
        </is>
      </c>
      <c r="B33" s="7" t="inlineStr">
        <is>
          <t>Sty</t>
        </is>
      </c>
      <c r="C33" s="7" t="inlineStr">
        <is>
          <t>Lut</t>
        </is>
      </c>
      <c r="D33" s="7" t="inlineStr">
        <is>
          <t>Mar</t>
        </is>
      </c>
      <c r="E33" s="7" t="inlineStr">
        <is>
          <t>Kwi</t>
        </is>
      </c>
      <c r="F33" s="7" t="inlineStr">
        <is>
          <t>Maj</t>
        </is>
      </c>
      <c r="G33" s="7" t="inlineStr">
        <is>
          <t>Cze</t>
        </is>
      </c>
      <c r="H33" s="7" t="inlineStr">
        <is>
          <t>Lip</t>
        </is>
      </c>
      <c r="I33" s="7" t="inlineStr">
        <is>
          <t>Sie</t>
        </is>
      </c>
      <c r="J33" s="7" t="inlineStr">
        <is>
          <t>Wrz</t>
        </is>
      </c>
      <c r="K33" s="7" t="inlineStr">
        <is>
          <t>Paź</t>
        </is>
      </c>
      <c r="L33" s="7" t="inlineStr">
        <is>
          <t>Lis</t>
        </is>
      </c>
      <c r="M33" s="7" t="inlineStr">
        <is>
          <t>Gru</t>
        </is>
      </c>
      <c r="N33" s="7" t="inlineStr">
        <is>
          <t>RAZEM</t>
        </is>
      </c>
    </row>
    <row r="34">
      <c r="A34" s="27" t="inlineStr">
        <is>
          <t>SPRZEDAŻ</t>
        </is>
      </c>
      <c r="B34" s="9" t="n">
        <v>19720</v>
      </c>
      <c r="C34" s="9" t="n">
        <v>19720</v>
      </c>
      <c r="D34" s="9" t="n">
        <v>19720</v>
      </c>
      <c r="E34" s="9" t="n">
        <v>19720</v>
      </c>
      <c r="F34" s="9" t="n">
        <v>19720</v>
      </c>
      <c r="G34" s="9" t="n">
        <v>19720</v>
      </c>
      <c r="H34" s="9" t="n">
        <v>19720</v>
      </c>
      <c r="I34" s="9" t="n">
        <v>19720</v>
      </c>
      <c r="J34" s="9" t="n">
        <v>19720</v>
      </c>
      <c r="K34" s="9" t="n">
        <v>19720</v>
      </c>
      <c r="L34" s="9" t="n">
        <v>19720</v>
      </c>
      <c r="M34" s="9" t="n">
        <v>19720</v>
      </c>
      <c r="N34" s="10">
        <f>SUM(B34:M34)</f>
        <v/>
      </c>
    </row>
    <row r="35">
      <c r="A35" s="27" t="inlineStr">
        <is>
          <t>LOGISTYKA</t>
        </is>
      </c>
      <c r="B35" s="9" t="n">
        <v>37201.5</v>
      </c>
      <c r="C35" s="9" t="n">
        <v>37201.5</v>
      </c>
      <c r="D35" s="9" t="n">
        <v>37201.5</v>
      </c>
      <c r="E35" s="9" t="n">
        <v>37201.5</v>
      </c>
      <c r="F35" s="9" t="n">
        <v>37201.5</v>
      </c>
      <c r="G35" s="9" t="n">
        <v>37201.5</v>
      </c>
      <c r="H35" s="9" t="n">
        <v>37201.5</v>
      </c>
      <c r="I35" s="9" t="n">
        <v>37201.5</v>
      </c>
      <c r="J35" s="9" t="n">
        <v>37201.5</v>
      </c>
      <c r="K35" s="9" t="n">
        <v>37201.5</v>
      </c>
      <c r="L35" s="9" t="n">
        <v>37201.5</v>
      </c>
      <c r="M35" s="9" t="n">
        <v>37201.5</v>
      </c>
      <c r="N35" s="10">
        <f>SUM(B35:M35)</f>
        <v/>
      </c>
    </row>
    <row r="36">
      <c r="A36" s="27" t="inlineStr">
        <is>
          <t>OPERACJE</t>
        </is>
      </c>
      <c r="B36" s="9" t="n">
        <v>9572.049999999999</v>
      </c>
      <c r="C36" s="9" t="n">
        <v>9572.049999999999</v>
      </c>
      <c r="D36" s="9" t="n">
        <v>9572.049999999999</v>
      </c>
      <c r="E36" s="9" t="n">
        <v>9572.049999999999</v>
      </c>
      <c r="F36" s="9" t="n">
        <v>9572.049999999999</v>
      </c>
      <c r="G36" s="9" t="n">
        <v>9572.049999999999</v>
      </c>
      <c r="H36" s="9" t="n">
        <v>9572.049999999999</v>
      </c>
      <c r="I36" s="9" t="n">
        <v>9572.049999999999</v>
      </c>
      <c r="J36" s="9" t="n">
        <v>9572.049999999999</v>
      </c>
      <c r="K36" s="9" t="n">
        <v>9572.049999999999</v>
      </c>
      <c r="L36" s="9" t="n">
        <v>9572.049999999999</v>
      </c>
      <c r="M36" s="9" t="n">
        <v>9572.049999999999</v>
      </c>
      <c r="N36" s="10">
        <f>SUM(B36:M36)</f>
        <v/>
      </c>
    </row>
    <row r="37">
      <c r="A37" s="27" t="inlineStr">
        <is>
          <t>WSPARCIE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10">
        <f>SUM(B37:M37)</f>
        <v/>
      </c>
    </row>
    <row r="38">
      <c r="A38" s="27" t="inlineStr">
        <is>
          <t>MAGAZYN</t>
        </is>
      </c>
      <c r="B38" s="9" t="n">
        <v>16923</v>
      </c>
      <c r="C38" s="9" t="n">
        <v>16923</v>
      </c>
      <c r="D38" s="9" t="n">
        <v>16923</v>
      </c>
      <c r="E38" s="9" t="n">
        <v>16923</v>
      </c>
      <c r="F38" s="9" t="n">
        <v>16923</v>
      </c>
      <c r="G38" s="9" t="n">
        <v>16923</v>
      </c>
      <c r="H38" s="9" t="n">
        <v>16923</v>
      </c>
      <c r="I38" s="9" t="n">
        <v>16923</v>
      </c>
      <c r="J38" s="9" t="n">
        <v>16923</v>
      </c>
      <c r="K38" s="9" t="n">
        <v>16923</v>
      </c>
      <c r="L38" s="9" t="n">
        <v>16923</v>
      </c>
      <c r="M38" s="9" t="n">
        <v>16923</v>
      </c>
      <c r="N38" s="10">
        <f>SUM(B38:M38)</f>
        <v/>
      </c>
    </row>
    <row r="39">
      <c r="A39" s="27" t="inlineStr">
        <is>
          <t>ZARZĄDZANIE</t>
        </is>
      </c>
      <c r="B39" s="9" t="n">
        <v>56325.95</v>
      </c>
      <c r="C39" s="9" t="n">
        <v>56325.95</v>
      </c>
      <c r="D39" s="9" t="n">
        <v>56325.95</v>
      </c>
      <c r="E39" s="9" t="n">
        <v>56325.95</v>
      </c>
      <c r="F39" s="9" t="n">
        <v>56325.95</v>
      </c>
      <c r="G39" s="9" t="n">
        <v>56325.95</v>
      </c>
      <c r="H39" s="9" t="n">
        <v>56325.95</v>
      </c>
      <c r="I39" s="9" t="n">
        <v>56325.95</v>
      </c>
      <c r="J39" s="9" t="n">
        <v>56325.95</v>
      </c>
      <c r="K39" s="9" t="n">
        <v>56325.95</v>
      </c>
      <c r="L39" s="9" t="n">
        <v>56325.95</v>
      </c>
      <c r="M39" s="9" t="n">
        <v>56325.95</v>
      </c>
      <c r="N39" s="10">
        <f>SUM(B39:M39)</f>
        <v/>
      </c>
    </row>
    <row r="40">
      <c r="A40" s="27" t="inlineStr">
        <is>
          <t>DORADZTWO</t>
        </is>
      </c>
      <c r="B40" s="9" t="n">
        <v>5845</v>
      </c>
      <c r="C40" s="9" t="n">
        <v>5845</v>
      </c>
      <c r="D40" s="9" t="n">
        <v>5845</v>
      </c>
      <c r="E40" s="9" t="n">
        <v>5845</v>
      </c>
      <c r="F40" s="9" t="n">
        <v>5845</v>
      </c>
      <c r="G40" s="9" t="n">
        <v>5845</v>
      </c>
      <c r="H40" s="9" t="n">
        <v>5845</v>
      </c>
      <c r="I40" s="9" t="n">
        <v>5845</v>
      </c>
      <c r="J40" s="9" t="n">
        <v>5845</v>
      </c>
      <c r="K40" s="9" t="n">
        <v>5845</v>
      </c>
      <c r="L40" s="9" t="n">
        <v>5845</v>
      </c>
      <c r="M40" s="9" t="n">
        <v>5845</v>
      </c>
      <c r="N40" s="10">
        <f>SUM(B40:M40)</f>
        <v/>
      </c>
    </row>
    <row r="41">
      <c r="A41" s="27" t="inlineStr">
        <is>
          <t>INNY_1</t>
        </is>
      </c>
      <c r="B41" s="9" t="n">
        <v>10930.2</v>
      </c>
      <c r="C41" s="9" t="n">
        <v>10930.2</v>
      </c>
      <c r="D41" s="9" t="n">
        <v>10930.2</v>
      </c>
      <c r="E41" s="9" t="n">
        <v>10930.2</v>
      </c>
      <c r="F41" s="9" t="n">
        <v>10930.2</v>
      </c>
      <c r="G41" s="9" t="n">
        <v>10930.2</v>
      </c>
      <c r="H41" s="9" t="n">
        <v>10930.2</v>
      </c>
      <c r="I41" s="9" t="n">
        <v>10930.2</v>
      </c>
      <c r="J41" s="9" t="n">
        <v>10930.2</v>
      </c>
      <c r="K41" s="9" t="n">
        <v>10930.2</v>
      </c>
      <c r="L41" s="9" t="n">
        <v>10930.2</v>
      </c>
      <c r="M41" s="9" t="n">
        <v>10930.2</v>
      </c>
      <c r="N41" s="10">
        <f>SUM(B41:M41)</f>
        <v/>
      </c>
    </row>
    <row r="42">
      <c r="A42" s="27" t="inlineStr">
        <is>
          <t>INNY_2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10">
        <f>SUM(B42:M42)</f>
        <v/>
      </c>
    </row>
    <row r="43">
      <c r="A43" s="27" t="inlineStr">
        <is>
          <t>INNY_3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10">
        <f>SUM(B43:M43)</f>
        <v/>
      </c>
    </row>
    <row r="44">
      <c r="A44" s="20" t="inlineStr">
        <is>
          <t>RAZEM DZIAŁY</t>
        </is>
      </c>
      <c r="B44" s="21">
        <f>SUM(B34:B43)</f>
        <v/>
      </c>
      <c r="C44" s="21">
        <f>SUM(C34:C43)</f>
        <v/>
      </c>
      <c r="D44" s="21">
        <f>SUM(D34:D43)</f>
        <v/>
      </c>
      <c r="E44" s="21">
        <f>SUM(E34:E43)</f>
        <v/>
      </c>
      <c r="F44" s="21">
        <f>SUM(F34:F43)</f>
        <v/>
      </c>
      <c r="G44" s="21">
        <f>SUM(G34:G43)</f>
        <v/>
      </c>
      <c r="H44" s="21">
        <f>SUM(H34:H43)</f>
        <v/>
      </c>
      <c r="I44" s="21">
        <f>SUM(I34:I43)</f>
        <v/>
      </c>
      <c r="J44" s="21">
        <f>SUM(J34:J43)</f>
        <v/>
      </c>
      <c r="K44" s="21">
        <f>SUM(K34:K43)</f>
        <v/>
      </c>
      <c r="L44" s="21">
        <f>SUM(L34:L43)</f>
        <v/>
      </c>
      <c r="M44" s="21">
        <f>SUM(M34:M43)</f>
        <v/>
      </c>
      <c r="N44" s="21">
        <f>SUM(N34:N43)</f>
        <v/>
      </c>
    </row>
  </sheetData>
  <mergeCells count="3">
    <mergeCell ref="A32:M32"/>
    <mergeCell ref="A24:D2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A1:R3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25"/>
  <cols>
    <col width="22" customWidth="1" min="1" max="1"/>
    <col width="14" customWidth="1" min="2" max="13"/>
    <col width="16" customWidth="1" min="14" max="14"/>
    <col width="18" customWidth="1" min="15" max="15"/>
    <col width="14" customWidth="1" min="16" max="17"/>
    <col width="18" customWidth="1" min="18" max="18"/>
  </cols>
  <sheetData>
    <row r="1" ht="18" customHeight="1">
      <c r="A1" s="65" t="inlineStr">
        <is>
          <t>SPRZEDAŻ 2026 — PLAN I WYKONANIE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  <c r="O1" s="66" t="n"/>
      <c r="P1" s="66" t="n"/>
      <c r="Q1" s="66" t="n"/>
      <c r="R1" s="66" t="n"/>
    </row>
    <row r="3" ht="15.75" customHeight="1">
      <c r="A3" s="29" t="inlineStr">
        <is>
          <t>HISTORIA SPRZEDAŻY</t>
        </is>
      </c>
    </row>
    <row r="4">
      <c r="A4" s="7" t="inlineStr">
        <is>
          <t>Rok</t>
        </is>
      </c>
      <c r="B4" s="7" t="inlineStr">
        <is>
          <t>Sty</t>
        </is>
      </c>
      <c r="C4" s="7" t="inlineStr">
        <is>
          <t>Lut</t>
        </is>
      </c>
      <c r="D4" s="7" t="inlineStr">
        <is>
          <t>Mar</t>
        </is>
      </c>
      <c r="E4" s="7" t="inlineStr">
        <is>
          <t>Kwi</t>
        </is>
      </c>
      <c r="F4" s="7" t="inlineStr">
        <is>
          <t>Maj</t>
        </is>
      </c>
      <c r="G4" s="7" t="inlineStr">
        <is>
          <t>Cze</t>
        </is>
      </c>
      <c r="H4" s="7" t="inlineStr">
        <is>
          <t>Lip</t>
        </is>
      </c>
      <c r="I4" s="7" t="inlineStr">
        <is>
          <t>Sie</t>
        </is>
      </c>
      <c r="J4" s="7" t="inlineStr">
        <is>
          <t>Wrz</t>
        </is>
      </c>
      <c r="K4" s="7" t="inlineStr">
        <is>
          <t>Paź</t>
        </is>
      </c>
      <c r="L4" s="7" t="inlineStr">
        <is>
          <t>Lis</t>
        </is>
      </c>
      <c r="M4" s="7" t="inlineStr">
        <is>
          <t>Gru</t>
        </is>
      </c>
      <c r="N4" s="7" t="inlineStr">
        <is>
          <t>RAZEM</t>
        </is>
      </c>
      <c r="O4" s="7" t="inlineStr">
        <is>
          <t>DYNAMIKA r/r</t>
        </is>
      </c>
      <c r="P4" s="7" t="inlineStr">
        <is>
          <t>MARŻA</t>
        </is>
      </c>
      <c r="Q4" s="7" t="inlineStr">
        <is>
          <t>ZYSK</t>
        </is>
      </c>
      <c r="R4" s="7" t="inlineStr">
        <is>
          <t>ZAKUP</t>
        </is>
      </c>
    </row>
    <row r="5">
      <c r="A5" s="27" t="n">
        <v>2021</v>
      </c>
      <c r="B5" s="30" t="n">
        <v>76748</v>
      </c>
      <c r="C5" s="30" t="n">
        <v>97200</v>
      </c>
      <c r="D5" s="30" t="n">
        <v>116720</v>
      </c>
      <c r="E5" s="30" t="n">
        <v>231579</v>
      </c>
      <c r="F5" s="30" t="n">
        <v>132611</v>
      </c>
      <c r="G5" s="30" t="n">
        <v>146733</v>
      </c>
      <c r="H5" s="30" t="n">
        <v>156973</v>
      </c>
      <c r="I5" s="30" t="n">
        <v>157337</v>
      </c>
      <c r="J5" s="30" t="n">
        <v>187834</v>
      </c>
      <c r="K5" s="30" t="n">
        <v>185438</v>
      </c>
      <c r="L5" s="30" t="n">
        <v>225276</v>
      </c>
      <c r="M5" s="30" t="n">
        <v>226584</v>
      </c>
      <c r="N5" s="10">
        <f>SUM(B5:M5)</f>
        <v/>
      </c>
    </row>
    <row r="6">
      <c r="A6" s="27" t="n">
        <v>2022</v>
      </c>
      <c r="B6" s="16" t="n">
        <v>158856</v>
      </c>
      <c r="C6" s="16" t="n">
        <v>179042</v>
      </c>
      <c r="D6" s="16" t="n">
        <v>225250</v>
      </c>
      <c r="E6" s="16" t="n">
        <v>224587</v>
      </c>
      <c r="F6" s="16" t="n">
        <v>266557</v>
      </c>
      <c r="G6" s="16" t="n">
        <v>274665</v>
      </c>
      <c r="H6" s="16" t="n">
        <v>252263</v>
      </c>
      <c r="I6" s="16" t="n">
        <v>295688</v>
      </c>
      <c r="J6" s="16" t="n">
        <v>298446</v>
      </c>
      <c r="K6" s="16" t="n">
        <v>337719</v>
      </c>
      <c r="L6" s="16" t="n">
        <v>378226</v>
      </c>
      <c r="M6" s="16" t="n">
        <v>410150</v>
      </c>
      <c r="N6" s="10">
        <f>SUM(B6:M6)</f>
        <v/>
      </c>
      <c r="O6" s="15">
        <f>IF(N5=0,"",N6/N5)</f>
        <v/>
      </c>
    </row>
    <row r="7">
      <c r="A7" s="27" t="n">
        <v>2023</v>
      </c>
      <c r="B7" s="30" t="n">
        <v>329707</v>
      </c>
      <c r="C7" s="30" t="n">
        <v>358484</v>
      </c>
      <c r="D7" s="30" t="n">
        <v>394903</v>
      </c>
      <c r="E7" s="30" t="n">
        <v>343711</v>
      </c>
      <c r="F7" s="30" t="n">
        <v>386671</v>
      </c>
      <c r="G7" s="30" t="n">
        <v>412280</v>
      </c>
      <c r="H7" s="30" t="n">
        <v>365324</v>
      </c>
      <c r="I7" s="30" t="n">
        <v>368797</v>
      </c>
      <c r="J7" s="30" t="n">
        <v>404277</v>
      </c>
      <c r="K7" s="30" t="n">
        <v>441641</v>
      </c>
      <c r="L7" s="30" t="n">
        <v>417416</v>
      </c>
      <c r="M7" s="30" t="n">
        <v>484211</v>
      </c>
      <c r="N7" s="10">
        <f>SUM(B7:M7)</f>
        <v/>
      </c>
      <c r="O7" s="15">
        <f>IF(N6=0,"",N7/N6)</f>
        <v/>
      </c>
    </row>
    <row r="8">
      <c r="A8" s="27" t="n">
        <v>2024</v>
      </c>
      <c r="B8" s="16" t="n">
        <v>401663</v>
      </c>
      <c r="C8" s="16" t="n">
        <v>428475</v>
      </c>
      <c r="D8" s="16" t="n">
        <v>431370</v>
      </c>
      <c r="E8" s="16" t="n">
        <v>471086</v>
      </c>
      <c r="F8" s="16" t="n">
        <v>447356</v>
      </c>
      <c r="G8" s="16" t="n">
        <v>443643</v>
      </c>
      <c r="H8" s="16" t="n">
        <v>453842</v>
      </c>
      <c r="I8" s="16" t="n">
        <v>457660</v>
      </c>
      <c r="J8" s="16" t="n">
        <v>495675</v>
      </c>
      <c r="K8" s="16" t="n">
        <v>515817</v>
      </c>
      <c r="L8" s="16" t="n">
        <v>417538</v>
      </c>
      <c r="M8" s="16" t="n">
        <v>500000</v>
      </c>
      <c r="N8" s="10">
        <f>SUM(B8:M8)</f>
        <v/>
      </c>
      <c r="O8" s="15">
        <f>IF(N7=0,"",N8/N7)</f>
        <v/>
      </c>
    </row>
    <row r="9">
      <c r="A9" s="27" t="n">
        <v>2025</v>
      </c>
      <c r="B9" s="30" t="n">
        <v>503721</v>
      </c>
      <c r="C9" s="30" t="n">
        <v>516838</v>
      </c>
      <c r="D9" s="30" t="n">
        <v>515000</v>
      </c>
      <c r="E9" s="30" t="n">
        <v>520000</v>
      </c>
      <c r="F9" s="30" t="n">
        <v>416425</v>
      </c>
      <c r="G9" s="30" t="n">
        <v>420000</v>
      </c>
      <c r="H9" s="30" t="n">
        <v>420000</v>
      </c>
      <c r="I9" s="30" t="n">
        <v>417178</v>
      </c>
      <c r="J9" s="30" t="n">
        <v>442288</v>
      </c>
      <c r="K9" s="30" t="n">
        <v>415390</v>
      </c>
      <c r="L9" s="30" t="n">
        <v>500000</v>
      </c>
      <c r="M9" s="30" t="n">
        <v>450000</v>
      </c>
      <c r="N9" s="10">
        <f>SUM(B9:M9)</f>
        <v/>
      </c>
      <c r="O9" s="15">
        <f>IF(N8=0,"",N9/N8)</f>
        <v/>
      </c>
    </row>
    <row r="11" ht="15.75" customHeight="1">
      <c r="A11" s="63" t="inlineStr">
        <is>
          <t>PLAN SPRZEDAŻY 2026</t>
        </is>
      </c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20" t="n"/>
      <c r="O11" s="64" t="n"/>
      <c r="P11" s="64" t="n"/>
      <c r="Q11" s="64" t="n"/>
      <c r="R11" s="64" t="n"/>
    </row>
    <row r="12">
      <c r="A12" s="7" t="inlineStr">
        <is>
          <t>Kategoria</t>
        </is>
      </c>
      <c r="B12" s="7" t="inlineStr">
        <is>
          <t>Sty</t>
        </is>
      </c>
      <c r="C12" s="7" t="inlineStr">
        <is>
          <t>Lut</t>
        </is>
      </c>
      <c r="D12" s="7" t="inlineStr">
        <is>
          <t>Mar</t>
        </is>
      </c>
      <c r="E12" s="7" t="inlineStr">
        <is>
          <t>Kwi</t>
        </is>
      </c>
      <c r="F12" s="7" t="inlineStr">
        <is>
          <t>Maj</t>
        </is>
      </c>
      <c r="G12" s="7" t="inlineStr">
        <is>
          <t>Cze</t>
        </is>
      </c>
      <c r="H12" s="7" t="inlineStr">
        <is>
          <t>Lip</t>
        </is>
      </c>
      <c r="I12" s="7" t="inlineStr">
        <is>
          <t>Sie</t>
        </is>
      </c>
      <c r="J12" s="7" t="inlineStr">
        <is>
          <t>Wrz</t>
        </is>
      </c>
      <c r="K12" s="7" t="inlineStr">
        <is>
          <t>Paź</t>
        </is>
      </c>
      <c r="L12" s="7" t="inlineStr">
        <is>
          <t>Lis</t>
        </is>
      </c>
      <c r="M12" s="7" t="inlineStr">
        <is>
          <t>Gru</t>
        </is>
      </c>
      <c r="N12" s="7" t="inlineStr">
        <is>
          <t>RAZEM</t>
        </is>
      </c>
    </row>
    <row r="13">
      <c r="A13" s="22" t="inlineStr">
        <is>
          <t>PLAN OBROTU</t>
        </is>
      </c>
      <c r="B13" s="9" t="n">
        <v>450000</v>
      </c>
      <c r="C13" s="9" t="n">
        <v>450000</v>
      </c>
      <c r="D13" s="9" t="n">
        <v>480000</v>
      </c>
      <c r="E13" s="9" t="n">
        <v>500000</v>
      </c>
      <c r="F13" s="9" t="n">
        <v>480000</v>
      </c>
      <c r="G13" s="9" t="n">
        <v>480000</v>
      </c>
      <c r="H13" s="9" t="n">
        <v>480000</v>
      </c>
      <c r="I13" s="9" t="n">
        <v>480000</v>
      </c>
      <c r="J13" s="9" t="n">
        <v>500000</v>
      </c>
      <c r="K13" s="9" t="n">
        <v>520000</v>
      </c>
      <c r="L13" s="9" t="n">
        <v>520000</v>
      </c>
      <c r="M13" s="9" t="n">
        <v>520000</v>
      </c>
      <c r="N13" s="10">
        <f>SUM(B13:M13)</f>
        <v/>
      </c>
    </row>
    <row r="14">
      <c r="A14" s="32" t="inlineStr">
        <is>
          <t>WYKONANIE</t>
        </is>
      </c>
      <c r="B14" s="33" t="n">
        <v>0</v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10">
        <f>SUM(B14:M14)</f>
        <v/>
      </c>
    </row>
    <row r="15">
      <c r="A15" s="34" t="inlineStr">
        <is>
          <t>RÓŻNICA (wyk. - plan)</t>
        </is>
      </c>
      <c r="B15" s="35">
        <f>B14-B13</f>
        <v/>
      </c>
      <c r="C15" s="35">
        <f>C14-C13</f>
        <v/>
      </c>
      <c r="D15" s="35">
        <f>D14-D13</f>
        <v/>
      </c>
      <c r="E15" s="35">
        <f>E14-E13</f>
        <v/>
      </c>
      <c r="F15" s="35">
        <f>F14-F13</f>
        <v/>
      </c>
      <c r="G15" s="35">
        <f>G14-G13</f>
        <v/>
      </c>
      <c r="H15" s="35">
        <f>H14-H13</f>
        <v/>
      </c>
      <c r="I15" s="35">
        <f>I14-I13</f>
        <v/>
      </c>
      <c r="J15" s="35">
        <f>J14-J13</f>
        <v/>
      </c>
      <c r="K15" s="35">
        <f>K14-K13</f>
        <v/>
      </c>
      <c r="L15" s="35">
        <f>L14-L13</f>
        <v/>
      </c>
      <c r="M15" s="35">
        <f>M14-M13</f>
        <v/>
      </c>
      <c r="N15" s="35">
        <f>N14-N13</f>
        <v/>
      </c>
    </row>
    <row r="16">
      <c r="A16" s="24" t="inlineStr">
        <is>
          <t>% REALIZACJI</t>
        </is>
      </c>
      <c r="B16" s="15">
        <f>IF(B13=0,"",B14/B13)</f>
        <v/>
      </c>
      <c r="C16" s="15">
        <f>IF(C13=0,"",C14/C13)</f>
        <v/>
      </c>
      <c r="D16" s="15">
        <f>IF(D13=0,"",D14/D13)</f>
        <v/>
      </c>
      <c r="E16" s="15">
        <f>IF(E13=0,"",E14/E13)</f>
        <v/>
      </c>
      <c r="F16" s="15">
        <f>IF(F13=0,"",F14/F13)</f>
        <v/>
      </c>
      <c r="G16" s="15">
        <f>IF(G13=0,"",G14/G13)</f>
        <v/>
      </c>
      <c r="H16" s="15">
        <f>IF(H13=0,"",H14/H13)</f>
        <v/>
      </c>
      <c r="I16" s="15">
        <f>IF(I13=0,"",I14/I13)</f>
        <v/>
      </c>
      <c r="J16" s="15">
        <f>IF(J13=0,"",J14/J13)</f>
        <v/>
      </c>
      <c r="K16" s="15">
        <f>IF(K13=0,"",K14/K13)</f>
        <v/>
      </c>
      <c r="L16" s="15">
        <f>IF(L13=0,"",L14/L13)</f>
        <v/>
      </c>
      <c r="M16" s="15">
        <f>IF(M13=0,"",M14/M13)</f>
        <v/>
      </c>
      <c r="N16" s="15">
        <f>IF(N13=0,"",N14/N13)</f>
        <v/>
      </c>
    </row>
    <row r="18">
      <c r="A18" s="22" t="inlineStr">
        <is>
          <t>OBRÓT PLAN (narastająco)</t>
        </is>
      </c>
      <c r="B18" s="23">
        <f>B13</f>
        <v/>
      </c>
      <c r="C18" s="23">
        <f>B18+C13</f>
        <v/>
      </c>
      <c r="D18" s="23">
        <f>C18+D13</f>
        <v/>
      </c>
      <c r="E18" s="23">
        <f>D18+E13</f>
        <v/>
      </c>
      <c r="F18" s="23">
        <f>E18+F13</f>
        <v/>
      </c>
      <c r="G18" s="23">
        <f>F18+G13</f>
        <v/>
      </c>
      <c r="H18" s="23">
        <f>G18+H13</f>
        <v/>
      </c>
      <c r="I18" s="23">
        <f>H18+I13</f>
        <v/>
      </c>
      <c r="J18" s="23">
        <f>I18+J13</f>
        <v/>
      </c>
      <c r="K18" s="23">
        <f>J18+K13</f>
        <v/>
      </c>
      <c r="L18" s="23">
        <f>K18+L13</f>
        <v/>
      </c>
      <c r="M18" s="23">
        <f>L18+M13</f>
        <v/>
      </c>
    </row>
    <row r="19">
      <c r="A19" s="22" t="inlineStr">
        <is>
          <t>OBRÓT WYKONANIE (narastająco)</t>
        </is>
      </c>
      <c r="B19" s="23">
        <f>B14</f>
        <v/>
      </c>
      <c r="C19" s="23">
        <f>B19+C14</f>
        <v/>
      </c>
      <c r="D19" s="23">
        <f>C19+D14</f>
        <v/>
      </c>
      <c r="E19" s="23">
        <f>D19+E14</f>
        <v/>
      </c>
      <c r="F19" s="23">
        <f>E19+F14</f>
        <v/>
      </c>
      <c r="G19" s="23">
        <f>F19+G14</f>
        <v/>
      </c>
      <c r="H19" s="23">
        <f>G19+H14</f>
        <v/>
      </c>
      <c r="I19" s="23">
        <f>H19+I14</f>
        <v/>
      </c>
      <c r="J19" s="23">
        <f>I19+J14</f>
        <v/>
      </c>
      <c r="K19" s="23">
        <f>J19+K14</f>
        <v/>
      </c>
      <c r="L19" s="23">
        <f>K19+L14</f>
        <v/>
      </c>
      <c r="M19" s="23">
        <f>L19+M14</f>
        <v/>
      </c>
    </row>
    <row r="21" ht="15.75" customHeight="1">
      <c r="A21" s="36" t="inlineStr">
        <is>
          <t>ZAŁOŻENIA</t>
        </is>
      </c>
    </row>
    <row r="22">
      <c r="A22" s="27" t="inlineStr">
        <is>
          <t>Marża sprzedaży</t>
        </is>
      </c>
      <c r="B22" s="37" t="n">
        <v>0.354</v>
      </c>
    </row>
    <row r="24" ht="15.75" customHeight="1">
      <c r="A24" s="29" t="inlineStr">
        <is>
          <t>HANDLOWCY</t>
        </is>
      </c>
    </row>
    <row r="25">
      <c r="A25" s="7" t="inlineStr">
        <is>
          <t>Handlowiec</t>
        </is>
      </c>
      <c r="B25" s="7" t="inlineStr">
        <is>
          <t>Udział %</t>
        </is>
      </c>
      <c r="C25" s="7" t="inlineStr">
        <is>
          <t>Komentarz</t>
        </is>
      </c>
    </row>
    <row r="26">
      <c r="A26" s="27" t="inlineStr">
        <is>
          <t>SKALO</t>
        </is>
      </c>
      <c r="B26" s="37" t="n">
        <v>0</v>
      </c>
      <c r="C26" s="27" t="n"/>
    </row>
    <row r="27">
      <c r="A27" s="27" t="inlineStr">
        <is>
          <t>Handlowiec 1 - Gosia</t>
        </is>
      </c>
      <c r="B27" s="37" t="n">
        <v>0</v>
      </c>
      <c r="C27" s="27" t="n"/>
    </row>
    <row r="28">
      <c r="A28" s="27" t="inlineStr">
        <is>
          <t>Handlowiec 2 - Anita</t>
        </is>
      </c>
      <c r="B28" s="37" t="n">
        <v>0.66</v>
      </c>
      <c r="C28" s="27" t="n"/>
    </row>
    <row r="29">
      <c r="A29" s="27" t="inlineStr">
        <is>
          <t>Handlowiec 3 - Magda</t>
        </is>
      </c>
      <c r="B29" s="37" t="n">
        <v>0.34</v>
      </c>
      <c r="C29" s="27" t="n"/>
    </row>
    <row r="30">
      <c r="A30" s="27" t="inlineStr">
        <is>
          <t>Handlowiec 4</t>
        </is>
      </c>
      <c r="B30" s="37" t="n">
        <v>0</v>
      </c>
      <c r="C30" s="27" t="n"/>
    </row>
    <row r="32" ht="15.75" customHeight="1">
      <c r="A32" s="29" t="inlineStr">
        <is>
          <t>SYSTEM PROWIZYJNY</t>
        </is>
      </c>
    </row>
    <row r="33">
      <c r="A33" s="7" t="inlineStr">
        <is>
          <t>Osoba</t>
        </is>
      </c>
      <c r="B33" s="7" t="inlineStr">
        <is>
          <t>Stawka %</t>
        </is>
      </c>
      <c r="C33" s="7" t="inlineStr">
        <is>
          <t>Komentarz</t>
        </is>
      </c>
    </row>
    <row r="34">
      <c r="A34" s="27" t="inlineStr">
        <is>
          <t>Dyrektor</t>
        </is>
      </c>
      <c r="B34" s="38" t="n">
        <v>0</v>
      </c>
      <c r="C34" s="27" t="n"/>
    </row>
    <row r="35">
      <c r="A35" s="27" t="inlineStr">
        <is>
          <t>SKALO</t>
        </is>
      </c>
      <c r="B35" s="38" t="n">
        <v>0</v>
      </c>
      <c r="C35" s="27" t="n"/>
    </row>
    <row r="36">
      <c r="A36" s="27" t="inlineStr">
        <is>
          <t>Handlowiec 1</t>
        </is>
      </c>
      <c r="B36" s="38" t="n">
        <v>0</v>
      </c>
      <c r="C36" s="27" t="n"/>
    </row>
    <row r="37">
      <c r="A37" s="27" t="inlineStr">
        <is>
          <t>Handlowiec 2</t>
        </is>
      </c>
      <c r="B37" s="38" t="n">
        <v>0.0015</v>
      </c>
      <c r="C37" s="27" t="n"/>
    </row>
    <row r="38">
      <c r="A38" s="27" t="inlineStr">
        <is>
          <t>Handlowiec 3</t>
        </is>
      </c>
      <c r="B38" s="38" t="n">
        <v>0.0015</v>
      </c>
      <c r="C38" s="27" t="n"/>
    </row>
    <row r="39">
      <c r="A39" s="27" t="inlineStr">
        <is>
          <t>Handlowiec 4</t>
        </is>
      </c>
      <c r="B39" s="38" t="n">
        <v>0</v>
      </c>
      <c r="C39" s="27" t="n"/>
    </row>
  </sheetData>
  <mergeCells count="2">
    <mergeCell ref="A11:N11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U35"/>
  <sheetViews>
    <sheetView zoomScale="90" zoomScaleNormal="90"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Q9" sqref="J9:Q9"/>
    </sheetView>
  </sheetViews>
  <sheetFormatPr baseColWidth="8" defaultRowHeight="14.25"/>
  <cols>
    <col width="6" customWidth="1" min="1" max="1"/>
    <col width="30" customWidth="1" min="2" max="2"/>
    <col width="22" customWidth="1" min="3" max="3"/>
    <col width="16" customWidth="1" min="4" max="4"/>
    <col width="18" customWidth="1" min="5" max="5"/>
    <col width="12" customWidth="1" min="6" max="8"/>
    <col width="16" customWidth="1" min="9" max="9"/>
    <col width="12" customWidth="1" min="10" max="21"/>
  </cols>
  <sheetData>
    <row r="1" ht="18" customHeight="1">
      <c r="A1" s="68" t="inlineStr">
        <is>
          <t>WYNAGRODZENIA 2026 — ADD ALL SP. Z O.O.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20" t="n"/>
    </row>
    <row r="2">
      <c r="A2" s="67" t="inlineStr">
        <is>
          <t>WYNAGRODZENIA ADDALL SP. Z O.O. — TOTAL</t>
        </is>
      </c>
      <c r="B2" s="119" t="n"/>
      <c r="C2" s="119" t="n"/>
      <c r="D2" s="119" t="n"/>
      <c r="E2" s="120" t="n"/>
      <c r="F2" s="67" t="n"/>
      <c r="G2" s="67" t="n"/>
      <c r="H2" s="67" t="n"/>
      <c r="I2" s="67" t="n"/>
      <c r="J2" s="40">
        <f>SUMPRODUCT(($J4:$J15="TAK")*($I4:$I15))</f>
        <v/>
      </c>
      <c r="K2" s="40">
        <f>SUMPRODUCT(($K4:$K15="TAK")*($I4:$I15))</f>
        <v/>
      </c>
      <c r="L2" s="40">
        <f>SUMPRODUCT(($L4:$L15="TAK")*($I4:$I15))</f>
        <v/>
      </c>
      <c r="M2" s="40">
        <f>SUMPRODUCT(($M4:$M15="TAK")*($I4:$I15))</f>
        <v/>
      </c>
      <c r="N2" s="40">
        <f>SUMPRODUCT(($N4:$N15="TAK")*($I4:$I15))</f>
        <v/>
      </c>
      <c r="O2" s="40">
        <f>SUMPRODUCT(($O4:$O15="TAK")*($I4:$I15))</f>
        <v/>
      </c>
      <c r="P2" s="40">
        <f>SUMPRODUCT(($P4:$P15="TAK")*($I4:$I15))</f>
        <v/>
      </c>
      <c r="Q2" s="40">
        <f>SUMPRODUCT(($Q4:$Q15="TAK")*($I4:$I15))</f>
        <v/>
      </c>
      <c r="R2" s="40">
        <f>SUMPRODUCT(($R4:$R15="TAK")*($I4:$I15))</f>
        <v/>
      </c>
      <c r="S2" s="40">
        <f>SUMPRODUCT(($S4:$S15="TAK")*($I4:$I15))</f>
        <v/>
      </c>
      <c r="T2" s="40">
        <f>SUMPRODUCT(($T4:$T15="TAK")*($I4:$I15))</f>
        <v/>
      </c>
      <c r="U2" s="40">
        <f>SUMPRODUCT(($U4:$U15="TAK")*($I4:$I15))</f>
        <v/>
      </c>
    </row>
    <row r="3" ht="28.5" customHeight="1">
      <c r="A3" s="7" t="inlineStr">
        <is>
          <t>Lp.</t>
        </is>
      </c>
      <c r="B3" s="7" t="inlineStr">
        <is>
          <t>OPIS</t>
        </is>
      </c>
      <c r="C3" s="7" t="inlineStr">
        <is>
          <t>FIRMA</t>
        </is>
      </c>
      <c r="D3" s="7" t="inlineStr">
        <is>
          <t>DZIAŁ</t>
        </is>
      </c>
      <c r="E3" s="7" t="inlineStr">
        <is>
          <t>FORMA ZATRUDNIENIA</t>
        </is>
      </c>
      <c r="F3" s="7" t="inlineStr">
        <is>
          <t>NETTO</t>
        </is>
      </c>
      <c r="G3" s="7" t="inlineStr">
        <is>
          <t>BRUTTO</t>
        </is>
      </c>
      <c r="H3" s="7" t="inlineStr">
        <is>
          <t>VAT</t>
        </is>
      </c>
      <c r="I3" s="7" t="inlineStr">
        <is>
          <t>KOSZT PRACODAWCY</t>
        </is>
      </c>
      <c r="J3" s="7" t="inlineStr">
        <is>
          <t>Sty</t>
        </is>
      </c>
      <c r="K3" s="7" t="inlineStr">
        <is>
          <t>Lut</t>
        </is>
      </c>
      <c r="L3" s="7" t="inlineStr">
        <is>
          <t>Mar</t>
        </is>
      </c>
      <c r="M3" s="7" t="inlineStr">
        <is>
          <t>Kwi</t>
        </is>
      </c>
      <c r="N3" s="7" t="inlineStr">
        <is>
          <t>Maj</t>
        </is>
      </c>
      <c r="O3" s="7" t="inlineStr">
        <is>
          <t>Cze</t>
        </is>
      </c>
      <c r="P3" s="7" t="inlineStr">
        <is>
          <t>Lip</t>
        </is>
      </c>
      <c r="Q3" s="7" t="inlineStr">
        <is>
          <t>Sie</t>
        </is>
      </c>
      <c r="R3" s="7" t="inlineStr">
        <is>
          <t>Wrz</t>
        </is>
      </c>
      <c r="S3" s="7" t="inlineStr">
        <is>
          <t>Paź</t>
        </is>
      </c>
      <c r="T3" s="7" t="inlineStr">
        <is>
          <t>Lis</t>
        </is>
      </c>
      <c r="U3" s="7" t="inlineStr">
        <is>
          <t>Gru</t>
        </is>
      </c>
    </row>
    <row r="4">
      <c r="A4" s="41" t="n">
        <v>1</v>
      </c>
      <c r="B4" s="27" t="inlineStr">
        <is>
          <t>Małgorzata Rojek</t>
        </is>
      </c>
      <c r="C4" s="27" t="inlineStr">
        <is>
          <t>Add All Sp. z o.o.</t>
        </is>
      </c>
      <c r="D4" s="27" t="inlineStr">
        <is>
          <t>SPRZEDAŻ</t>
        </is>
      </c>
      <c r="E4" s="27" t="inlineStr">
        <is>
          <t>UoP</t>
        </is>
      </c>
      <c r="F4" s="16" t="n">
        <v>8000</v>
      </c>
      <c r="G4" s="16" t="n"/>
      <c r="H4" s="16" t="n"/>
      <c r="I4" s="16" t="n">
        <v>14500</v>
      </c>
      <c r="J4" s="42" t="inlineStr">
        <is>
          <t>TAK</t>
        </is>
      </c>
      <c r="K4" s="42" t="inlineStr">
        <is>
          <t>TAK</t>
        </is>
      </c>
      <c r="L4" s="42" t="inlineStr">
        <is>
          <t>TAK</t>
        </is>
      </c>
      <c r="M4" s="42" t="inlineStr">
        <is>
          <t>TAK</t>
        </is>
      </c>
      <c r="N4" s="42" t="inlineStr">
        <is>
          <t>TAK</t>
        </is>
      </c>
      <c r="O4" s="42" t="inlineStr">
        <is>
          <t>TAK</t>
        </is>
      </c>
      <c r="P4" s="42" t="inlineStr">
        <is>
          <t>TAK</t>
        </is>
      </c>
      <c r="Q4" s="42" t="inlineStr">
        <is>
          <t>TAK</t>
        </is>
      </c>
      <c r="R4" s="42" t="inlineStr">
        <is>
          <t>TAK</t>
        </is>
      </c>
      <c r="S4" s="42" t="inlineStr">
        <is>
          <t>TAK</t>
        </is>
      </c>
      <c r="T4" s="42" t="inlineStr">
        <is>
          <t>TAK</t>
        </is>
      </c>
      <c r="U4" s="42" t="inlineStr">
        <is>
          <t>TAK</t>
        </is>
      </c>
    </row>
    <row r="5">
      <c r="A5" s="41" t="n">
        <v>2</v>
      </c>
      <c r="B5" s="27" t="inlineStr">
        <is>
          <t>Piotr Radzyński</t>
        </is>
      </c>
      <c r="C5" s="27" t="inlineStr">
        <is>
          <t>Add All Sp. z o.o.</t>
        </is>
      </c>
      <c r="D5" s="27" t="inlineStr">
        <is>
          <t>LOGISTYKA</t>
        </is>
      </c>
      <c r="E5" s="27" t="inlineStr">
        <is>
          <t>UoP</t>
        </is>
      </c>
      <c r="F5" s="16" t="n">
        <v>6000</v>
      </c>
      <c r="G5" s="16" t="n"/>
      <c r="H5" s="16" t="n"/>
      <c r="I5" s="16" t="n">
        <v>10400</v>
      </c>
      <c r="J5" s="42" t="inlineStr">
        <is>
          <t>TAK</t>
        </is>
      </c>
      <c r="K5" s="42" t="inlineStr">
        <is>
          <t>TAK</t>
        </is>
      </c>
      <c r="L5" s="42" t="inlineStr">
        <is>
          <t>TAK</t>
        </is>
      </c>
      <c r="M5" s="42" t="inlineStr">
        <is>
          <t>TAK</t>
        </is>
      </c>
      <c r="N5" s="42" t="inlineStr">
        <is>
          <t>TAK</t>
        </is>
      </c>
      <c r="O5" s="42" t="inlineStr">
        <is>
          <t>TAK</t>
        </is>
      </c>
      <c r="P5" s="42" t="inlineStr">
        <is>
          <t>TAK</t>
        </is>
      </c>
      <c r="Q5" s="42" t="inlineStr">
        <is>
          <t>TAK</t>
        </is>
      </c>
      <c r="R5" s="42" t="inlineStr">
        <is>
          <t>TAK</t>
        </is>
      </c>
      <c r="S5" s="42" t="inlineStr">
        <is>
          <t>TAK</t>
        </is>
      </c>
      <c r="T5" s="42" t="inlineStr">
        <is>
          <t>TAK</t>
        </is>
      </c>
      <c r="U5" s="42" t="inlineStr">
        <is>
          <t>TAK</t>
        </is>
      </c>
    </row>
    <row r="6">
      <c r="A6" s="41" t="n">
        <v>3</v>
      </c>
      <c r="B6" s="27" t="inlineStr">
        <is>
          <t>Paulina Zielińska</t>
        </is>
      </c>
      <c r="C6" s="27" t="inlineStr">
        <is>
          <t>Add All Sp. z o.o.</t>
        </is>
      </c>
      <c r="D6" s="27" t="inlineStr">
        <is>
          <t>OPERACJE</t>
        </is>
      </c>
      <c r="E6" s="27" t="inlineStr">
        <is>
          <t>UoP</t>
        </is>
      </c>
      <c r="F6" s="16" t="n">
        <v>4300</v>
      </c>
      <c r="G6" s="16" t="n">
        <v>6002</v>
      </c>
      <c r="H6" s="16" t="n"/>
      <c r="I6" s="16" t="n">
        <v>5654</v>
      </c>
      <c r="J6" s="42" t="inlineStr">
        <is>
          <t>TAK</t>
        </is>
      </c>
      <c r="K6" s="42" t="inlineStr">
        <is>
          <t>TAK</t>
        </is>
      </c>
      <c r="L6" s="42" t="inlineStr">
        <is>
          <t>TAK</t>
        </is>
      </c>
      <c r="M6" s="42" t="inlineStr">
        <is>
          <t>TAK</t>
        </is>
      </c>
      <c r="N6" s="42" t="inlineStr">
        <is>
          <t>TAK</t>
        </is>
      </c>
      <c r="O6" s="42" t="inlineStr">
        <is>
          <t>TAK</t>
        </is>
      </c>
      <c r="P6" s="42" t="inlineStr">
        <is>
          <t>TAK</t>
        </is>
      </c>
      <c r="Q6" s="42" t="inlineStr">
        <is>
          <t>TAK</t>
        </is>
      </c>
      <c r="R6" s="42" t="inlineStr">
        <is>
          <t>TAK</t>
        </is>
      </c>
      <c r="S6" s="42" t="inlineStr">
        <is>
          <t>TAK</t>
        </is>
      </c>
      <c r="T6" s="42" t="inlineStr">
        <is>
          <t>TAK</t>
        </is>
      </c>
      <c r="U6" s="42" t="inlineStr">
        <is>
          <t>TAK</t>
        </is>
      </c>
    </row>
    <row r="7">
      <c r="A7" s="41" t="n">
        <v>4</v>
      </c>
      <c r="B7" s="27" t="inlineStr">
        <is>
          <t>Firma zewnętrzna</t>
        </is>
      </c>
      <c r="C7" s="27" t="inlineStr">
        <is>
          <t>Add All Sp. z o.o.</t>
        </is>
      </c>
      <c r="D7" s="27" t="inlineStr">
        <is>
          <t>LOGISTYKA</t>
        </is>
      </c>
      <c r="E7" s="27" t="inlineStr">
        <is>
          <t>FV</t>
        </is>
      </c>
      <c r="F7" s="16" t="n">
        <v>7800</v>
      </c>
      <c r="G7" s="16" t="n">
        <v>6116.61</v>
      </c>
      <c r="H7" s="16" t="n"/>
      <c r="I7" s="16" t="n">
        <v>7800</v>
      </c>
      <c r="J7" s="42" t="inlineStr">
        <is>
          <t>TAK</t>
        </is>
      </c>
      <c r="K7" s="42" t="inlineStr">
        <is>
          <t>TAK</t>
        </is>
      </c>
      <c r="L7" s="42" t="inlineStr">
        <is>
          <t>TAK</t>
        </is>
      </c>
      <c r="M7" s="42" t="inlineStr">
        <is>
          <t>TAK</t>
        </is>
      </c>
      <c r="N7" s="42" t="inlineStr">
        <is>
          <t>TAK</t>
        </is>
      </c>
      <c r="O7" s="42" t="inlineStr">
        <is>
          <t>TAK</t>
        </is>
      </c>
      <c r="P7" s="42" t="inlineStr">
        <is>
          <t>TAK</t>
        </is>
      </c>
      <c r="Q7" s="42" t="inlineStr">
        <is>
          <t>TAK</t>
        </is>
      </c>
      <c r="R7" s="42" t="inlineStr">
        <is>
          <t>TAK</t>
        </is>
      </c>
      <c r="S7" s="42" t="inlineStr">
        <is>
          <t>TAK</t>
        </is>
      </c>
      <c r="T7" s="42" t="inlineStr">
        <is>
          <t>TAK</t>
        </is>
      </c>
      <c r="U7" s="42" t="inlineStr">
        <is>
          <t>TAK</t>
        </is>
      </c>
    </row>
    <row r="8">
      <c r="A8" s="41" t="n">
        <v>5</v>
      </c>
      <c r="B8" s="27" t="inlineStr">
        <is>
          <t>Magdalena Grzelak</t>
        </is>
      </c>
      <c r="C8" s="27" t="inlineStr">
        <is>
          <t>Add All Sp. z o.o.</t>
        </is>
      </c>
      <c r="D8" s="27" t="inlineStr">
        <is>
          <t>SPRZEDAŻ</t>
        </is>
      </c>
      <c r="E8" s="27" t="inlineStr">
        <is>
          <t>UoP</t>
        </is>
      </c>
      <c r="F8" s="16" t="n">
        <v>5000</v>
      </c>
      <c r="G8" s="16" t="n">
        <v>6850</v>
      </c>
      <c r="H8" s="16" t="n"/>
      <c r="I8" s="16" t="n">
        <v>8400</v>
      </c>
      <c r="J8" s="42" t="inlineStr">
        <is>
          <t>TAK</t>
        </is>
      </c>
      <c r="K8" s="42" t="inlineStr">
        <is>
          <t>TAK</t>
        </is>
      </c>
      <c r="L8" s="42" t="inlineStr">
        <is>
          <t>TAK</t>
        </is>
      </c>
      <c r="M8" s="42" t="inlineStr">
        <is>
          <t>TAK</t>
        </is>
      </c>
      <c r="N8" s="42" t="inlineStr">
        <is>
          <t>TAK</t>
        </is>
      </c>
      <c r="O8" s="42" t="inlineStr">
        <is>
          <t>TAK</t>
        </is>
      </c>
      <c r="P8" s="42" t="inlineStr">
        <is>
          <t>TAK</t>
        </is>
      </c>
      <c r="Q8" s="42" t="inlineStr">
        <is>
          <t>TAK</t>
        </is>
      </c>
      <c r="R8" s="42" t="inlineStr">
        <is>
          <t>TAK</t>
        </is>
      </c>
      <c r="S8" s="42" t="inlineStr">
        <is>
          <t>TAK</t>
        </is>
      </c>
      <c r="T8" s="42" t="inlineStr">
        <is>
          <t>TAK</t>
        </is>
      </c>
      <c r="U8" s="42" t="inlineStr">
        <is>
          <t>TAK</t>
        </is>
      </c>
    </row>
    <row r="9">
      <c r="A9" s="41" t="n">
        <v>6</v>
      </c>
      <c r="B9" s="27" t="inlineStr">
        <is>
          <t>Agnieszka Dąbrowska</t>
        </is>
      </c>
      <c r="C9" s="27" t="inlineStr">
        <is>
          <t>Add All Sp. z o.o.</t>
        </is>
      </c>
      <c r="D9" s="27" t="inlineStr">
        <is>
          <t>ZARZĄDZANIE</t>
        </is>
      </c>
      <c r="E9" s="27" t="inlineStr">
        <is>
          <t>FV</t>
        </is>
      </c>
      <c r="F9" s="16" t="n">
        <v>13000</v>
      </c>
      <c r="G9" s="16" t="n"/>
      <c r="H9" s="16" t="n">
        <v>2990</v>
      </c>
      <c r="I9" s="16" t="n">
        <v>13000</v>
      </c>
      <c r="J9" s="42" t="inlineStr">
        <is>
          <t>Nie</t>
        </is>
      </c>
      <c r="K9" s="42" t="inlineStr">
        <is>
          <t>Nie</t>
        </is>
      </c>
      <c r="L9" s="42" t="inlineStr">
        <is>
          <t>Nie</t>
        </is>
      </c>
      <c r="M9" s="42" t="inlineStr">
        <is>
          <t>Nie</t>
        </is>
      </c>
      <c r="N9" s="42" t="inlineStr">
        <is>
          <t>Nie</t>
        </is>
      </c>
      <c r="O9" s="42" t="inlineStr">
        <is>
          <t>Nie</t>
        </is>
      </c>
      <c r="P9" s="42" t="inlineStr">
        <is>
          <t>Nie</t>
        </is>
      </c>
      <c r="Q9" s="42" t="inlineStr">
        <is>
          <t>Nie</t>
        </is>
      </c>
      <c r="R9" s="42" t="inlineStr">
        <is>
          <t>Nie</t>
        </is>
      </c>
      <c r="S9" s="42" t="inlineStr">
        <is>
          <t>Nie</t>
        </is>
      </c>
      <c r="T9" s="42" t="inlineStr">
        <is>
          <t>Nie</t>
        </is>
      </c>
      <c r="U9" s="42" t="inlineStr">
        <is>
          <t>Nie</t>
        </is>
      </c>
    </row>
    <row r="10">
      <c r="A10" s="41" t="n">
        <v>7</v>
      </c>
      <c r="B10" s="27" t="inlineStr">
        <is>
          <t>Dysponowanie pracownikami JDG</t>
        </is>
      </c>
      <c r="C10" s="27" t="inlineStr">
        <is>
          <t>Add All Sp. z o.o.</t>
        </is>
      </c>
      <c r="D10" s="27" t="inlineStr">
        <is>
          <t>ZARZĄDZANIE</t>
        </is>
      </c>
      <c r="E10" s="27" t="inlineStr">
        <is>
          <t>FV</t>
        </is>
      </c>
      <c r="F10" s="16" t="n">
        <v>21000</v>
      </c>
      <c r="G10" s="16" t="n"/>
      <c r="H10" s="16" t="n"/>
      <c r="I10" s="16" t="n">
        <v>22674.54</v>
      </c>
      <c r="J10" s="42" t="inlineStr">
        <is>
          <t>TAK</t>
        </is>
      </c>
      <c r="K10" s="42" t="inlineStr">
        <is>
          <t>TAK</t>
        </is>
      </c>
      <c r="L10" s="42" t="inlineStr">
        <is>
          <t>TAK</t>
        </is>
      </c>
      <c r="M10" s="42" t="inlineStr">
        <is>
          <t>TAK</t>
        </is>
      </c>
      <c r="N10" s="42" t="inlineStr">
        <is>
          <t>TAK</t>
        </is>
      </c>
      <c r="O10" s="42" t="inlineStr">
        <is>
          <t>TAK</t>
        </is>
      </c>
      <c r="P10" s="42" t="inlineStr">
        <is>
          <t>TAK</t>
        </is>
      </c>
      <c r="Q10" s="42" t="inlineStr">
        <is>
          <t>TAK</t>
        </is>
      </c>
      <c r="R10" s="42" t="inlineStr">
        <is>
          <t>TAK</t>
        </is>
      </c>
      <c r="S10" s="42" t="inlineStr">
        <is>
          <t>TAK</t>
        </is>
      </c>
      <c r="T10" s="42" t="inlineStr">
        <is>
          <t>TAK</t>
        </is>
      </c>
      <c r="U10" s="42" t="inlineStr">
        <is>
          <t>TAK</t>
        </is>
      </c>
    </row>
    <row r="11">
      <c r="A11" s="41" t="n">
        <v>8</v>
      </c>
      <c r="B11" s="27" t="inlineStr">
        <is>
          <t>Zarząd p. Ania i p. Adam</t>
        </is>
      </c>
      <c r="C11" s="27" t="inlineStr">
        <is>
          <t>Add All Sp. z o.o.</t>
        </is>
      </c>
      <c r="D11" s="27" t="inlineStr">
        <is>
          <t>ZARZĄDZANIE</t>
        </is>
      </c>
      <c r="E11" s="27" t="inlineStr">
        <is>
          <t>FV</t>
        </is>
      </c>
      <c r="F11" s="16" t="n">
        <v>11000</v>
      </c>
      <c r="G11" s="16" t="n"/>
      <c r="H11" s="16" t="n"/>
      <c r="I11" s="16" t="n">
        <v>7400</v>
      </c>
      <c r="J11" s="42" t="inlineStr">
        <is>
          <t>TAK</t>
        </is>
      </c>
      <c r="K11" s="42" t="inlineStr">
        <is>
          <t>TAK</t>
        </is>
      </c>
      <c r="L11" s="42" t="inlineStr">
        <is>
          <t>TAK</t>
        </is>
      </c>
      <c r="M11" s="42" t="inlineStr">
        <is>
          <t>TAK</t>
        </is>
      </c>
      <c r="N11" s="42" t="inlineStr">
        <is>
          <t>TAK</t>
        </is>
      </c>
      <c r="O11" s="42" t="inlineStr">
        <is>
          <t>TAK</t>
        </is>
      </c>
      <c r="P11" s="42" t="inlineStr">
        <is>
          <t>TAK</t>
        </is>
      </c>
      <c r="Q11" s="42" t="inlineStr">
        <is>
          <t>TAK</t>
        </is>
      </c>
      <c r="R11" s="42" t="inlineStr">
        <is>
          <t>TAK</t>
        </is>
      </c>
      <c r="S11" s="42" t="inlineStr">
        <is>
          <t>TAK</t>
        </is>
      </c>
      <c r="T11" s="42" t="inlineStr">
        <is>
          <t>TAK</t>
        </is>
      </c>
      <c r="U11" s="42" t="inlineStr">
        <is>
          <t>TAK</t>
        </is>
      </c>
    </row>
    <row r="12">
      <c r="A12" s="41" t="n">
        <v>9</v>
      </c>
      <c r="B12" s="27" t="inlineStr">
        <is>
          <t>Czeki nowe</t>
        </is>
      </c>
      <c r="C12" s="27" t="inlineStr">
        <is>
          <t>Add All Sp. z o.o.</t>
        </is>
      </c>
      <c r="D12" s="27" t="inlineStr">
        <is>
          <t>SPRZEDAŻ</t>
        </is>
      </c>
      <c r="E12" s="27" t="n"/>
      <c r="F12" s="16" t="n"/>
      <c r="G12" s="16" t="n"/>
      <c r="H12" s="16" t="n"/>
      <c r="I12" s="16" t="n">
        <v>8640</v>
      </c>
      <c r="J12" s="42" t="inlineStr">
        <is>
          <t>TAK</t>
        </is>
      </c>
      <c r="K12" s="42" t="inlineStr">
        <is>
          <t>TAK</t>
        </is>
      </c>
      <c r="L12" s="42" t="inlineStr">
        <is>
          <t>TAK</t>
        </is>
      </c>
      <c r="M12" s="42" t="inlineStr">
        <is>
          <t>TAK</t>
        </is>
      </c>
      <c r="N12" s="42" t="inlineStr">
        <is>
          <t>TAK</t>
        </is>
      </c>
      <c r="O12" s="42" t="inlineStr">
        <is>
          <t>TAK</t>
        </is>
      </c>
      <c r="P12" s="42" t="inlineStr">
        <is>
          <t>TAK</t>
        </is>
      </c>
      <c r="Q12" s="42" t="inlineStr">
        <is>
          <t>TAK</t>
        </is>
      </c>
      <c r="R12" s="42" t="inlineStr">
        <is>
          <t>TAK</t>
        </is>
      </c>
      <c r="S12" s="42" t="inlineStr">
        <is>
          <t>TAK</t>
        </is>
      </c>
      <c r="T12" s="42" t="inlineStr">
        <is>
          <t>TAK</t>
        </is>
      </c>
      <c r="U12" s="42" t="inlineStr">
        <is>
          <t>TAK</t>
        </is>
      </c>
    </row>
    <row r="13">
      <c r="A13" s="41" t="n">
        <v>10</v>
      </c>
      <c r="B13" s="27" t="inlineStr">
        <is>
          <t>Rezerwa na wzrost wynagrodzeń</t>
        </is>
      </c>
      <c r="C13" s="27" t="inlineStr">
        <is>
          <t>Add All Sp. z o.o.</t>
        </is>
      </c>
      <c r="D13" s="27" t="inlineStr">
        <is>
          <t>ZARZĄDZANIE</t>
        </is>
      </c>
      <c r="E13" s="27" t="inlineStr">
        <is>
          <t>5%</t>
        </is>
      </c>
      <c r="F13" s="16" t="n">
        <v>5000</v>
      </c>
      <c r="G13" s="16" t="n"/>
      <c r="H13" s="16" t="n"/>
      <c r="I13" s="16" t="n">
        <v>6485</v>
      </c>
      <c r="J13" s="43" t="inlineStr">
        <is>
          <t>NIE</t>
        </is>
      </c>
      <c r="K13" s="43" t="inlineStr">
        <is>
          <t>NIE</t>
        </is>
      </c>
      <c r="L13" s="43" t="inlineStr">
        <is>
          <t>NIE</t>
        </is>
      </c>
      <c r="M13" s="43" t="inlineStr">
        <is>
          <t>NIE</t>
        </is>
      </c>
      <c r="N13" s="43" t="inlineStr">
        <is>
          <t>NIE</t>
        </is>
      </c>
      <c r="O13" s="43" t="inlineStr">
        <is>
          <t>NIE</t>
        </is>
      </c>
      <c r="P13" s="43" t="inlineStr">
        <is>
          <t>NIE</t>
        </is>
      </c>
      <c r="Q13" s="43" t="inlineStr">
        <is>
          <t>NIE</t>
        </is>
      </c>
      <c r="R13" s="43" t="inlineStr">
        <is>
          <t>NIE</t>
        </is>
      </c>
      <c r="S13" s="43" t="inlineStr">
        <is>
          <t>NIE</t>
        </is>
      </c>
      <c r="T13" s="43" t="inlineStr">
        <is>
          <t>NIE</t>
        </is>
      </c>
      <c r="U13" s="43" t="inlineStr">
        <is>
          <t>NIE</t>
        </is>
      </c>
    </row>
    <row r="14">
      <c r="A14" s="41" t="n">
        <v>11</v>
      </c>
      <c r="B14" s="27" t="n"/>
      <c r="C14" s="27" t="inlineStr">
        <is>
          <t>Add All Sp. z o.o.</t>
        </is>
      </c>
      <c r="D14" s="27" t="n"/>
      <c r="E14" s="27" t="n"/>
      <c r="F14" s="16" t="n"/>
      <c r="G14" s="16" t="n"/>
      <c r="H14" s="16" t="n"/>
      <c r="I14" s="16" t="n"/>
      <c r="J14" s="43" t="inlineStr">
        <is>
          <t>NIE</t>
        </is>
      </c>
      <c r="K14" s="43" t="inlineStr">
        <is>
          <t>NIE</t>
        </is>
      </c>
      <c r="L14" s="43" t="inlineStr">
        <is>
          <t>NIE</t>
        </is>
      </c>
      <c r="M14" s="43" t="inlineStr">
        <is>
          <t>NIE</t>
        </is>
      </c>
      <c r="N14" s="43" t="inlineStr">
        <is>
          <t>NIE</t>
        </is>
      </c>
      <c r="O14" s="43" t="inlineStr">
        <is>
          <t>NIE</t>
        </is>
      </c>
      <c r="P14" s="43" t="inlineStr">
        <is>
          <t>NIE</t>
        </is>
      </c>
      <c r="Q14" s="43" t="inlineStr">
        <is>
          <t>NIE</t>
        </is>
      </c>
      <c r="R14" s="43" t="inlineStr">
        <is>
          <t>NIE</t>
        </is>
      </c>
      <c r="S14" s="43" t="inlineStr">
        <is>
          <t>NIE</t>
        </is>
      </c>
      <c r="T14" s="43" t="inlineStr">
        <is>
          <t>NIE</t>
        </is>
      </c>
      <c r="U14" s="43" t="inlineStr">
        <is>
          <t>NIE</t>
        </is>
      </c>
    </row>
    <row r="15">
      <c r="A15" s="41" t="n">
        <v>12</v>
      </c>
      <c r="B15" s="27" t="n"/>
      <c r="C15" s="27" t="inlineStr">
        <is>
          <t>Add All Sp. z o.o.</t>
        </is>
      </c>
      <c r="D15" s="27" t="n"/>
      <c r="E15" s="27" t="n"/>
      <c r="F15" s="16" t="n"/>
      <c r="G15" s="16" t="n"/>
      <c r="H15" s="16" t="n"/>
      <c r="I15" s="16" t="n"/>
      <c r="J15" s="43" t="inlineStr">
        <is>
          <t>NIE</t>
        </is>
      </c>
      <c r="K15" s="43" t="inlineStr">
        <is>
          <t>NIE</t>
        </is>
      </c>
      <c r="L15" s="43" t="inlineStr">
        <is>
          <t>NIE</t>
        </is>
      </c>
      <c r="M15" s="43" t="inlineStr">
        <is>
          <t>NIE</t>
        </is>
      </c>
      <c r="N15" s="43" t="inlineStr">
        <is>
          <t>NIE</t>
        </is>
      </c>
      <c r="O15" s="43" t="inlineStr">
        <is>
          <t>NIE</t>
        </is>
      </c>
      <c r="P15" s="43" t="inlineStr">
        <is>
          <t>NIE</t>
        </is>
      </c>
      <c r="Q15" s="43" t="inlineStr">
        <is>
          <t>NIE</t>
        </is>
      </c>
      <c r="R15" s="43" t="inlineStr">
        <is>
          <t>NIE</t>
        </is>
      </c>
      <c r="S15" s="43" t="inlineStr">
        <is>
          <t>NIE</t>
        </is>
      </c>
      <c r="T15" s="43" t="inlineStr">
        <is>
          <t>NIE</t>
        </is>
      </c>
      <c r="U15" s="43" t="inlineStr">
        <is>
          <t>NIE</t>
        </is>
      </c>
    </row>
    <row r="17">
      <c r="A17" s="70" t="inlineStr">
        <is>
          <t>WYNAGRODZENIA ADDALL JDG</t>
        </is>
      </c>
      <c r="B17" s="119" t="n"/>
      <c r="C17" s="119" t="n"/>
      <c r="D17" s="119" t="n"/>
      <c r="E17" s="119" t="n"/>
      <c r="F17" s="119" t="n"/>
      <c r="G17" s="119" t="n"/>
      <c r="H17" s="119" t="n"/>
      <c r="I17" s="12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</row>
    <row r="18" ht="28.5" customHeight="1">
      <c r="A18" s="7" t="inlineStr">
        <is>
          <t>Lp.</t>
        </is>
      </c>
      <c r="B18" s="7" t="inlineStr">
        <is>
          <t>OPIS</t>
        </is>
      </c>
      <c r="C18" s="7" t="inlineStr">
        <is>
          <t>FIRMA</t>
        </is>
      </c>
      <c r="D18" s="7" t="inlineStr">
        <is>
          <t>DZIAŁ</t>
        </is>
      </c>
      <c r="E18" s="7" t="inlineStr">
        <is>
          <t>FORMA ZATRUDNIENIA</t>
        </is>
      </c>
      <c r="F18" s="7" t="inlineStr">
        <is>
          <t>NETTO</t>
        </is>
      </c>
      <c r="G18" s="7" t="inlineStr">
        <is>
          <t>BRUTTO</t>
        </is>
      </c>
      <c r="H18" s="7" t="inlineStr">
        <is>
          <t>VAT</t>
        </is>
      </c>
      <c r="I18" s="7" t="inlineStr">
        <is>
          <t>KOSZT PRACODAWCY</t>
        </is>
      </c>
      <c r="J18" s="7" t="inlineStr">
        <is>
          <t>Sty</t>
        </is>
      </c>
      <c r="K18" s="7" t="inlineStr">
        <is>
          <t>Lut</t>
        </is>
      </c>
      <c r="L18" s="7" t="inlineStr">
        <is>
          <t>Mar</t>
        </is>
      </c>
      <c r="M18" s="7" t="inlineStr">
        <is>
          <t>Kwi</t>
        </is>
      </c>
      <c r="N18" s="7" t="inlineStr">
        <is>
          <t>Maj</t>
        </is>
      </c>
      <c r="O18" s="7" t="inlineStr">
        <is>
          <t>Cze</t>
        </is>
      </c>
      <c r="P18" s="7" t="inlineStr">
        <is>
          <t>Lip</t>
        </is>
      </c>
      <c r="Q18" s="7" t="inlineStr">
        <is>
          <t>Sie</t>
        </is>
      </c>
      <c r="R18" s="7" t="inlineStr">
        <is>
          <t>Wrz</t>
        </is>
      </c>
      <c r="S18" s="7" t="inlineStr">
        <is>
          <t>Paź</t>
        </is>
      </c>
      <c r="T18" s="7" t="inlineStr">
        <is>
          <t>Lis</t>
        </is>
      </c>
      <c r="U18" s="7" t="inlineStr">
        <is>
          <t>Gru</t>
        </is>
      </c>
    </row>
    <row r="19">
      <c r="A19" s="41" t="n">
        <v>1</v>
      </c>
      <c r="B19" s="27" t="inlineStr">
        <is>
          <t>Anita Skłodowska</t>
        </is>
      </c>
      <c r="C19" s="27" t="inlineStr">
        <is>
          <t>Add All JDG</t>
        </is>
      </c>
      <c r="D19" s="27" t="n"/>
      <c r="E19" s="27" t="inlineStr">
        <is>
          <t>UoP</t>
        </is>
      </c>
      <c r="F19" s="16" t="n">
        <v>3511</v>
      </c>
      <c r="G19" s="16" t="n">
        <v>4666</v>
      </c>
      <c r="H19" s="16" t="n"/>
      <c r="I19" s="16" t="n">
        <v>5621.59</v>
      </c>
    </row>
    <row r="20">
      <c r="A20" s="41" t="n">
        <v>2</v>
      </c>
      <c r="B20" s="27" t="inlineStr">
        <is>
          <t>Mariusz Rosa</t>
        </is>
      </c>
      <c r="C20" s="27" t="inlineStr">
        <is>
          <t>Add All JDG</t>
        </is>
      </c>
      <c r="D20" s="27" t="n"/>
      <c r="E20" s="27" t="n"/>
      <c r="F20" s="16" t="n"/>
      <c r="G20" s="16" t="n"/>
      <c r="H20" s="16" t="n"/>
      <c r="I20" s="16" t="n"/>
    </row>
    <row r="21">
      <c r="A21" s="41" t="n">
        <v>3</v>
      </c>
      <c r="B21" s="27" t="inlineStr">
        <is>
          <t>Dominik Żmudzki</t>
        </is>
      </c>
      <c r="C21" s="27" t="inlineStr">
        <is>
          <t>Add All JDG</t>
        </is>
      </c>
      <c r="D21" s="27" t="n"/>
      <c r="E21" s="27" t="inlineStr">
        <is>
          <t>UoP</t>
        </is>
      </c>
      <c r="F21" s="16" t="n">
        <v>3511</v>
      </c>
      <c r="G21" s="16" t="n">
        <v>4666</v>
      </c>
      <c r="H21" s="16" t="n"/>
      <c r="I21" s="16" t="n">
        <v>5621.59</v>
      </c>
    </row>
    <row r="22">
      <c r="A22" s="41" t="n">
        <v>4</v>
      </c>
      <c r="B22" s="27" t="inlineStr">
        <is>
          <t>Marek Zieliński</t>
        </is>
      </c>
      <c r="C22" s="27" t="inlineStr">
        <is>
          <t>Add All JDG</t>
        </is>
      </c>
      <c r="D22" s="27" t="n"/>
      <c r="E22" s="27" t="inlineStr">
        <is>
          <t>UoP</t>
        </is>
      </c>
      <c r="F22" s="16" t="n">
        <v>3511</v>
      </c>
      <c r="G22" s="16" t="n">
        <v>4666</v>
      </c>
      <c r="H22" s="16" t="n"/>
      <c r="I22" s="16" t="n">
        <v>5621.59</v>
      </c>
    </row>
    <row r="23">
      <c r="A23" s="41" t="n">
        <v>5</v>
      </c>
      <c r="B23" s="27" t="inlineStr">
        <is>
          <t>Teresa Kochman</t>
        </is>
      </c>
      <c r="C23" s="27" t="inlineStr">
        <is>
          <t>Add All JDG</t>
        </is>
      </c>
      <c r="D23" s="27" t="n"/>
      <c r="E23" s="27" t="inlineStr">
        <is>
          <t>UoP</t>
        </is>
      </c>
      <c r="F23" s="16" t="n">
        <v>4000</v>
      </c>
      <c r="G23" s="16" t="n">
        <v>2547</v>
      </c>
      <c r="H23" s="16" t="n">
        <v>6640</v>
      </c>
      <c r="I23" s="16" t="n">
        <v>3320</v>
      </c>
    </row>
    <row r="24">
      <c r="A24" s="41" t="n">
        <v>6</v>
      </c>
      <c r="B24" s="27" t="n"/>
      <c r="C24" s="27" t="inlineStr">
        <is>
          <t>Add All JDG</t>
        </is>
      </c>
      <c r="D24" s="27" t="n"/>
      <c r="E24" s="27" t="n"/>
      <c r="F24" s="16" t="n"/>
      <c r="G24" s="16" t="n"/>
      <c r="H24" s="16" t="n"/>
      <c r="I24" s="16" t="n"/>
    </row>
    <row r="25">
      <c r="A25" s="41" t="n">
        <v>7</v>
      </c>
      <c r="B25" s="27" t="n"/>
      <c r="C25" s="27" t="inlineStr">
        <is>
          <t>Add All JDG</t>
        </is>
      </c>
      <c r="D25" s="27" t="n"/>
      <c r="E25" s="27" t="n"/>
      <c r="F25" s="16" t="n"/>
      <c r="G25" s="16" t="n"/>
      <c r="H25" s="16" t="n"/>
      <c r="I25" s="16" t="n"/>
    </row>
    <row r="26">
      <c r="A26" s="41" t="n">
        <v>8</v>
      </c>
      <c r="B26" s="27" t="n"/>
      <c r="C26" s="27" t="inlineStr">
        <is>
          <t>Add All JDG</t>
        </is>
      </c>
      <c r="D26" s="27" t="n"/>
      <c r="E26" s="27" t="n"/>
      <c r="F26" s="16" t="n"/>
      <c r="G26" s="16" t="n"/>
      <c r="H26" s="16" t="n"/>
      <c r="I26" s="16" t="n"/>
    </row>
    <row r="28">
      <c r="A28" s="69" t="inlineStr">
        <is>
          <t>PODSUMOWANIE WYNAGRODZEŃ WG DZIAŁÓW</t>
        </is>
      </c>
      <c r="B28" s="119" t="n"/>
      <c r="C28" s="119" t="n"/>
      <c r="D28" s="119" t="n"/>
      <c r="E28" s="119" t="n"/>
      <c r="F28" s="119" t="n"/>
      <c r="G28" s="119" t="n"/>
      <c r="H28" s="119" t="n"/>
      <c r="I28" s="120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</row>
    <row r="29">
      <c r="D29" s="7" t="inlineStr">
        <is>
          <t>DZIAŁ</t>
        </is>
      </c>
      <c r="E29" s="7" t="n"/>
      <c r="F29" s="7" t="n"/>
      <c r="G29" s="7" t="n"/>
      <c r="H29" s="7" t="n"/>
      <c r="I29" s="7" t="n"/>
      <c r="J29" s="7" t="inlineStr">
        <is>
          <t>Sty</t>
        </is>
      </c>
      <c r="K29" s="7" t="inlineStr">
        <is>
          <t>Lut</t>
        </is>
      </c>
      <c r="L29" s="7" t="inlineStr">
        <is>
          <t>Mar</t>
        </is>
      </c>
      <c r="M29" s="7" t="inlineStr">
        <is>
          <t>Kwi</t>
        </is>
      </c>
      <c r="N29" s="7" t="inlineStr">
        <is>
          <t>Maj</t>
        </is>
      </c>
      <c r="O29" s="7" t="inlineStr">
        <is>
          <t>Cze</t>
        </is>
      </c>
      <c r="P29" s="7" t="inlineStr">
        <is>
          <t>Lip</t>
        </is>
      </c>
      <c r="Q29" s="7" t="inlineStr">
        <is>
          <t>Sie</t>
        </is>
      </c>
      <c r="R29" s="7" t="inlineStr">
        <is>
          <t>Wrz</t>
        </is>
      </c>
      <c r="S29" s="7" t="inlineStr">
        <is>
          <t>Paź</t>
        </is>
      </c>
      <c r="T29" s="7" t="inlineStr">
        <is>
          <t>Lis</t>
        </is>
      </c>
      <c r="U29" s="7" t="inlineStr">
        <is>
          <t>Gru</t>
        </is>
      </c>
    </row>
    <row r="30">
      <c r="D30" s="27" t="inlineStr">
        <is>
          <t>SPRZEDAŻ</t>
        </is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>
      <c r="D31" s="27" t="inlineStr">
        <is>
          <t>LOGISTYKA</t>
        </is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</row>
    <row r="32">
      <c r="D32" s="27" t="inlineStr">
        <is>
          <t>OPERACJE</t>
        </is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</row>
    <row r="33">
      <c r="D33" s="27" t="inlineStr">
        <is>
          <t>MAGAZYN</t>
        </is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</row>
    <row r="34">
      <c r="D34" s="27" t="inlineStr">
        <is>
          <t>ZARZĄDZANIE</t>
        </is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</row>
    <row r="35">
      <c r="D35" s="27" t="inlineStr">
        <is>
          <t>DORADZTWO</t>
        </is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</row>
  </sheetData>
  <mergeCells count="4">
    <mergeCell ref="A2:E2"/>
    <mergeCell ref="A1:U1"/>
    <mergeCell ref="A28:I28"/>
    <mergeCell ref="A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U26"/>
  <sheetViews>
    <sheetView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J22" sqref="J22"/>
    </sheetView>
  </sheetViews>
  <sheetFormatPr baseColWidth="8" defaultRowHeight="14.25"/>
  <cols>
    <col width="6" customWidth="1" min="1" max="1"/>
    <col width="40" customWidth="1" min="2" max="2"/>
    <col width="22" customWidth="1" min="3" max="3"/>
    <col width="16" customWidth="1" min="4" max="4"/>
    <col width="20" customWidth="1" min="5" max="5"/>
    <col width="12" customWidth="1" min="6" max="8"/>
    <col width="16" customWidth="1" min="9" max="9"/>
    <col width="12" customWidth="1" min="10" max="21"/>
  </cols>
  <sheetData>
    <row r="1" ht="18" customHeight="1">
      <c r="A1" s="71" t="inlineStr">
        <is>
          <t>KOSZTY OPERACYJNE 2026 — ADD ALL SP. Z O.O.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20" t="n"/>
    </row>
    <row r="2">
      <c r="A2" s="70" t="inlineStr">
        <is>
          <t>OPERACYJNE ADDALL SP. Z O.O. — TOTAL</t>
        </is>
      </c>
      <c r="B2" s="119" t="n"/>
      <c r="C2" s="119" t="n"/>
      <c r="D2" s="119" t="n"/>
      <c r="E2" s="120" t="n"/>
      <c r="F2" s="70" t="n"/>
      <c r="G2" s="70" t="n"/>
      <c r="H2" s="70" t="n"/>
      <c r="I2" s="70" t="n"/>
      <c r="J2" s="45">
        <f>SUMPRODUCT(($J4:$J26="TAK")*($I4:$I26))</f>
        <v/>
      </c>
      <c r="K2" s="45">
        <f>SUMPRODUCT(($K4:$K26="TAK")*($I4:$I26))</f>
        <v/>
      </c>
      <c r="L2" s="45">
        <f>SUMPRODUCT(($L4:$L26="TAK")*($I4:$I26))</f>
        <v/>
      </c>
      <c r="M2" s="45">
        <f>SUMPRODUCT(($M4:$M26="TAK")*($I4:$I26))</f>
        <v/>
      </c>
      <c r="N2" s="45">
        <f>SUMPRODUCT(($N4:$N26="TAK")*($I4:$I26))</f>
        <v/>
      </c>
      <c r="O2" s="45">
        <f>SUMPRODUCT(($O4:$O26="TAK")*($I4:$I26))</f>
        <v/>
      </c>
      <c r="P2" s="45">
        <f>SUMPRODUCT(($P4:$P26="TAK")*($I4:$I26))</f>
        <v/>
      </c>
      <c r="Q2" s="45">
        <f>SUMPRODUCT(($Q4:$Q26="TAK")*($I4:$I26))</f>
        <v/>
      </c>
      <c r="R2" s="45">
        <f>SUMPRODUCT(($R4:$R26="TAK")*($I4:$I26))</f>
        <v/>
      </c>
      <c r="S2" s="45">
        <f>SUMPRODUCT(($S4:$S26="TAK")*($I4:$I26))</f>
        <v/>
      </c>
      <c r="T2" s="45">
        <f>SUMPRODUCT(($T4:$T26="TAK")*($I4:$I26))</f>
        <v/>
      </c>
      <c r="U2" s="45">
        <f>SUMPRODUCT(($U4:$U26="TAK")*($I4:$I26))</f>
        <v/>
      </c>
    </row>
    <row r="3">
      <c r="A3" s="7" t="inlineStr">
        <is>
          <t>Lp.</t>
        </is>
      </c>
      <c r="B3" s="7" t="inlineStr">
        <is>
          <t>OPIS</t>
        </is>
      </c>
      <c r="C3" s="7" t="inlineStr">
        <is>
          <t>FIRMA</t>
        </is>
      </c>
      <c r="D3" s="7" t="inlineStr">
        <is>
          <t>DZIAŁ</t>
        </is>
      </c>
      <c r="E3" s="7" t="inlineStr">
        <is>
          <t>KOMENTARZ</t>
        </is>
      </c>
      <c r="F3" s="7" t="inlineStr">
        <is>
          <t>NETTO</t>
        </is>
      </c>
      <c r="G3" s="7" t="inlineStr">
        <is>
          <t>BRUTTO</t>
        </is>
      </c>
      <c r="H3" s="7" t="inlineStr">
        <is>
          <t>VAT</t>
        </is>
      </c>
      <c r="I3" s="7" t="inlineStr">
        <is>
          <t>KOSZT</t>
        </is>
      </c>
      <c r="J3" s="7" t="inlineStr">
        <is>
          <t>Sty</t>
        </is>
      </c>
      <c r="K3" s="7" t="inlineStr">
        <is>
          <t>Lut</t>
        </is>
      </c>
      <c r="L3" s="7" t="inlineStr">
        <is>
          <t>Mar</t>
        </is>
      </c>
      <c r="M3" s="7" t="inlineStr">
        <is>
          <t>Kwi</t>
        </is>
      </c>
      <c r="N3" s="7" t="inlineStr">
        <is>
          <t>Maj</t>
        </is>
      </c>
      <c r="O3" s="7" t="inlineStr">
        <is>
          <t>Cze</t>
        </is>
      </c>
      <c r="P3" s="7" t="inlineStr">
        <is>
          <t>Lip</t>
        </is>
      </c>
      <c r="Q3" s="7" t="inlineStr">
        <is>
          <t>Sie</t>
        </is>
      </c>
      <c r="R3" s="7" t="inlineStr">
        <is>
          <t>Wrz</t>
        </is>
      </c>
      <c r="S3" s="7" t="inlineStr">
        <is>
          <t>Paź</t>
        </is>
      </c>
      <c r="T3" s="7" t="inlineStr">
        <is>
          <t>Lis</t>
        </is>
      </c>
      <c r="U3" s="7" t="inlineStr">
        <is>
          <t>Gru</t>
        </is>
      </c>
    </row>
    <row r="4">
      <c r="A4" s="41" t="n">
        <v>1</v>
      </c>
      <c r="B4" s="27" t="inlineStr">
        <is>
          <t>Magazyn (najem)</t>
        </is>
      </c>
      <c r="C4" s="27" t="inlineStr">
        <is>
          <t>Add All Sp. z o.o.</t>
        </is>
      </c>
      <c r="D4" s="27" t="inlineStr">
        <is>
          <t>MAGAZYN</t>
        </is>
      </c>
      <c r="E4" s="27" t="n"/>
      <c r="F4" s="16" t="n">
        <v>6000</v>
      </c>
      <c r="G4" s="16" t="n"/>
      <c r="H4" s="16" t="n"/>
      <c r="I4" s="16" t="n">
        <v>10000</v>
      </c>
      <c r="J4" s="42" t="inlineStr">
        <is>
          <t>TAK</t>
        </is>
      </c>
      <c r="K4" s="42" t="inlineStr">
        <is>
          <t>TAK</t>
        </is>
      </c>
      <c r="L4" s="42" t="inlineStr">
        <is>
          <t>TAK</t>
        </is>
      </c>
      <c r="M4" s="42" t="inlineStr">
        <is>
          <t>TAK</t>
        </is>
      </c>
      <c r="N4" s="42" t="inlineStr">
        <is>
          <t>TAK</t>
        </is>
      </c>
      <c r="O4" s="42" t="inlineStr">
        <is>
          <t>TAK</t>
        </is>
      </c>
      <c r="P4" s="42" t="inlineStr">
        <is>
          <t>TAK</t>
        </is>
      </c>
      <c r="Q4" s="42" t="inlineStr">
        <is>
          <t>TAK</t>
        </is>
      </c>
      <c r="R4" s="42" t="inlineStr">
        <is>
          <t>TAK</t>
        </is>
      </c>
      <c r="S4" s="42" t="inlineStr">
        <is>
          <t>TAK</t>
        </is>
      </c>
      <c r="T4" s="42" t="inlineStr">
        <is>
          <t>TAK</t>
        </is>
      </c>
      <c r="U4" s="42" t="inlineStr">
        <is>
          <t>TAK</t>
        </is>
      </c>
    </row>
    <row r="5">
      <c r="A5" s="41" t="n">
        <v>2</v>
      </c>
      <c r="B5" s="27" t="inlineStr">
        <is>
          <t>Księgowość</t>
        </is>
      </c>
      <c r="C5" s="27" t="inlineStr">
        <is>
          <t>Add All Sp. z o.o.</t>
        </is>
      </c>
      <c r="D5" s="27" t="inlineStr">
        <is>
          <t>DORADZTWO</t>
        </is>
      </c>
      <c r="E5" s="27" t="n"/>
      <c r="F5" s="16" t="n">
        <v>5500</v>
      </c>
      <c r="G5" s="16" t="n"/>
      <c r="H5" s="16" t="n"/>
      <c r="I5" s="16" t="n">
        <v>5845</v>
      </c>
      <c r="J5" s="42" t="inlineStr">
        <is>
          <t>TAK</t>
        </is>
      </c>
      <c r="K5" s="42" t="inlineStr">
        <is>
          <t>TAK</t>
        </is>
      </c>
      <c r="L5" s="42" t="inlineStr">
        <is>
          <t>TAK</t>
        </is>
      </c>
      <c r="M5" s="42" t="inlineStr">
        <is>
          <t>TAK</t>
        </is>
      </c>
      <c r="N5" s="42" t="inlineStr">
        <is>
          <t>TAK</t>
        </is>
      </c>
      <c r="O5" s="42" t="inlineStr">
        <is>
          <t>TAK</t>
        </is>
      </c>
      <c r="P5" s="42" t="inlineStr">
        <is>
          <t>TAK</t>
        </is>
      </c>
      <c r="Q5" s="42" t="inlineStr">
        <is>
          <t>TAK</t>
        </is>
      </c>
      <c r="R5" s="42" t="inlineStr">
        <is>
          <t>TAK</t>
        </is>
      </c>
      <c r="S5" s="42" t="inlineStr">
        <is>
          <t>TAK</t>
        </is>
      </c>
      <c r="T5" s="42" t="inlineStr">
        <is>
          <t>TAK</t>
        </is>
      </c>
      <c r="U5" s="42" t="inlineStr">
        <is>
          <t>TAK</t>
        </is>
      </c>
    </row>
    <row r="6">
      <c r="A6" s="41" t="n">
        <v>3</v>
      </c>
      <c r="B6" s="27" t="inlineStr">
        <is>
          <t>Artykuły biurowe</t>
        </is>
      </c>
      <c r="C6" s="27" t="inlineStr">
        <is>
          <t>Add All Sp. z o.o.</t>
        </is>
      </c>
      <c r="D6" s="27" t="inlineStr">
        <is>
          <t>INNY_1</t>
        </is>
      </c>
      <c r="E6" s="27" t="n"/>
      <c r="F6" s="16" t="n">
        <v>500</v>
      </c>
      <c r="G6" s="16" t="n"/>
      <c r="H6" s="16" t="n"/>
      <c r="I6" s="16" t="n">
        <v>380</v>
      </c>
      <c r="J6" s="42" t="inlineStr">
        <is>
          <t>TAK</t>
        </is>
      </c>
      <c r="K6" s="42" t="inlineStr">
        <is>
          <t>TAK</t>
        </is>
      </c>
      <c r="L6" s="42" t="inlineStr">
        <is>
          <t>TAK</t>
        </is>
      </c>
      <c r="M6" s="42" t="inlineStr">
        <is>
          <t>TAK</t>
        </is>
      </c>
      <c r="N6" s="42" t="inlineStr">
        <is>
          <t>TAK</t>
        </is>
      </c>
      <c r="O6" s="42" t="inlineStr">
        <is>
          <t>TAK</t>
        </is>
      </c>
      <c r="P6" s="42" t="inlineStr">
        <is>
          <t>TAK</t>
        </is>
      </c>
      <c r="Q6" s="42" t="inlineStr">
        <is>
          <t>TAK</t>
        </is>
      </c>
      <c r="R6" s="42" t="inlineStr">
        <is>
          <t>TAK</t>
        </is>
      </c>
      <c r="S6" s="42" t="inlineStr">
        <is>
          <t>TAK</t>
        </is>
      </c>
      <c r="T6" s="42" t="inlineStr">
        <is>
          <t>TAK</t>
        </is>
      </c>
      <c r="U6" s="42" t="inlineStr">
        <is>
          <t>TAK</t>
        </is>
      </c>
    </row>
    <row r="7">
      <c r="A7" s="41" t="n">
        <v>4</v>
      </c>
      <c r="B7" s="27" t="inlineStr">
        <is>
          <t>Artykuły spożywcze</t>
        </is>
      </c>
      <c r="C7" s="27" t="inlineStr">
        <is>
          <t>Add All Sp. z o.o.</t>
        </is>
      </c>
      <c r="D7" s="27" t="inlineStr">
        <is>
          <t>INNY_1</t>
        </is>
      </c>
      <c r="E7" s="27" t="n"/>
      <c r="F7" s="16" t="n">
        <v>500</v>
      </c>
      <c r="G7" s="16" t="n"/>
      <c r="H7" s="16" t="n"/>
      <c r="I7" s="16" t="n">
        <v>550</v>
      </c>
      <c r="J7" s="42" t="inlineStr">
        <is>
          <t>TAK</t>
        </is>
      </c>
      <c r="K7" s="42" t="inlineStr">
        <is>
          <t>TAK</t>
        </is>
      </c>
      <c r="L7" s="42" t="inlineStr">
        <is>
          <t>TAK</t>
        </is>
      </c>
      <c r="M7" s="42" t="inlineStr">
        <is>
          <t>TAK</t>
        </is>
      </c>
      <c r="N7" s="42" t="inlineStr">
        <is>
          <t>TAK</t>
        </is>
      </c>
      <c r="O7" s="42" t="inlineStr">
        <is>
          <t>TAK</t>
        </is>
      </c>
      <c r="P7" s="42" t="inlineStr">
        <is>
          <t>TAK</t>
        </is>
      </c>
      <c r="Q7" s="42" t="inlineStr">
        <is>
          <t>TAK</t>
        </is>
      </c>
      <c r="R7" s="42" t="inlineStr">
        <is>
          <t>TAK</t>
        </is>
      </c>
      <c r="S7" s="42" t="inlineStr">
        <is>
          <t>TAK</t>
        </is>
      </c>
      <c r="T7" s="42" t="inlineStr">
        <is>
          <t>TAK</t>
        </is>
      </c>
      <c r="U7" s="42" t="inlineStr">
        <is>
          <t>TAK</t>
        </is>
      </c>
    </row>
    <row r="8">
      <c r="A8" s="41" t="n">
        <v>5</v>
      </c>
      <c r="B8" s="27" t="inlineStr">
        <is>
          <t>Artykuły budowlane / wyposażenie</t>
        </is>
      </c>
      <c r="C8" s="27" t="inlineStr">
        <is>
          <t>Add All Sp. z o.o.</t>
        </is>
      </c>
      <c r="D8" s="27" t="inlineStr">
        <is>
          <t>INNY_1</t>
        </is>
      </c>
      <c r="E8" s="27" t="n"/>
      <c r="F8" s="16" t="n">
        <v>1600</v>
      </c>
      <c r="G8" s="16" t="n"/>
      <c r="H8" s="16" t="n"/>
      <c r="I8" s="16" t="n">
        <v>5</v>
      </c>
      <c r="J8" s="42" t="inlineStr">
        <is>
          <t>TAK</t>
        </is>
      </c>
      <c r="K8" s="42" t="inlineStr">
        <is>
          <t>TAK</t>
        </is>
      </c>
      <c r="L8" s="42" t="inlineStr">
        <is>
          <t>TAK</t>
        </is>
      </c>
      <c r="M8" s="42" t="inlineStr">
        <is>
          <t>TAK</t>
        </is>
      </c>
      <c r="N8" s="42" t="inlineStr">
        <is>
          <t>TAK</t>
        </is>
      </c>
      <c r="O8" s="42" t="inlineStr">
        <is>
          <t>TAK</t>
        </is>
      </c>
      <c r="P8" s="42" t="inlineStr">
        <is>
          <t>TAK</t>
        </is>
      </c>
      <c r="Q8" s="42" t="inlineStr">
        <is>
          <t>TAK</t>
        </is>
      </c>
      <c r="R8" s="42" t="inlineStr">
        <is>
          <t>TAK</t>
        </is>
      </c>
      <c r="S8" s="42" t="inlineStr">
        <is>
          <t>TAK</t>
        </is>
      </c>
      <c r="T8" s="42" t="inlineStr">
        <is>
          <t>TAK</t>
        </is>
      </c>
      <c r="U8" s="42" t="inlineStr">
        <is>
          <t>TAK</t>
        </is>
      </c>
    </row>
    <row r="9">
      <c r="A9" s="41" t="n">
        <v>6</v>
      </c>
      <c r="B9" s="27" t="inlineStr">
        <is>
          <t>Media (Prąd, woda, śmieci)</t>
        </is>
      </c>
      <c r="C9" s="27" t="inlineStr">
        <is>
          <t>Add All Sp. z o.o.</t>
        </is>
      </c>
      <c r="D9" s="27" t="inlineStr">
        <is>
          <t>ZARZĄDZANIE</t>
        </is>
      </c>
      <c r="E9" s="27" t="n"/>
      <c r="F9" s="16" t="n">
        <v>2800</v>
      </c>
      <c r="G9" s="16" t="n"/>
      <c r="H9" s="16" t="n"/>
      <c r="I9" s="16" t="n">
        <v>1301</v>
      </c>
      <c r="J9" s="42" t="inlineStr">
        <is>
          <t>TAK</t>
        </is>
      </c>
      <c r="K9" s="42" t="inlineStr">
        <is>
          <t>TAK</t>
        </is>
      </c>
      <c r="L9" s="42" t="inlineStr">
        <is>
          <t>TAK</t>
        </is>
      </c>
      <c r="M9" s="42" t="inlineStr">
        <is>
          <t>TAK</t>
        </is>
      </c>
      <c r="N9" s="42" t="inlineStr">
        <is>
          <t>TAK</t>
        </is>
      </c>
      <c r="O9" s="42" t="inlineStr">
        <is>
          <t>TAK</t>
        </is>
      </c>
      <c r="P9" s="42" t="inlineStr">
        <is>
          <t>TAK</t>
        </is>
      </c>
      <c r="Q9" s="42" t="inlineStr">
        <is>
          <t>TAK</t>
        </is>
      </c>
      <c r="R9" s="42" t="inlineStr">
        <is>
          <t>TAK</t>
        </is>
      </c>
      <c r="S9" s="42" t="inlineStr">
        <is>
          <t>TAK</t>
        </is>
      </c>
      <c r="T9" s="42" t="inlineStr">
        <is>
          <t>TAK</t>
        </is>
      </c>
      <c r="U9" s="42" t="inlineStr">
        <is>
          <t>TAK</t>
        </is>
      </c>
    </row>
    <row r="10">
      <c r="A10" s="41" t="n">
        <v>7</v>
      </c>
      <c r="B10" s="27" t="inlineStr">
        <is>
          <t>Paliwo</t>
        </is>
      </c>
      <c r="C10" s="27" t="inlineStr">
        <is>
          <t>Add All Sp. z o.o.</t>
        </is>
      </c>
      <c r="D10" s="27" t="inlineStr">
        <is>
          <t>LOGISTYKA</t>
        </is>
      </c>
      <c r="E10" s="27" t="n"/>
      <c r="F10" s="16" t="n">
        <v>5700</v>
      </c>
      <c r="G10" s="16" t="n"/>
      <c r="H10" s="16" t="n"/>
      <c r="I10" s="16" t="n">
        <v>5000</v>
      </c>
      <c r="J10" s="42" t="inlineStr">
        <is>
          <t>TAK</t>
        </is>
      </c>
      <c r="K10" s="42" t="inlineStr">
        <is>
          <t>TAK</t>
        </is>
      </c>
      <c r="L10" s="42" t="inlineStr">
        <is>
          <t>TAK</t>
        </is>
      </c>
      <c r="M10" s="42" t="inlineStr">
        <is>
          <t>TAK</t>
        </is>
      </c>
      <c r="N10" s="42" t="inlineStr">
        <is>
          <t>TAK</t>
        </is>
      </c>
      <c r="O10" s="42" t="inlineStr">
        <is>
          <t>TAK</t>
        </is>
      </c>
      <c r="P10" s="42" t="inlineStr">
        <is>
          <t>TAK</t>
        </is>
      </c>
      <c r="Q10" s="42" t="inlineStr">
        <is>
          <t>TAK</t>
        </is>
      </c>
      <c r="R10" s="42" t="inlineStr">
        <is>
          <t>TAK</t>
        </is>
      </c>
      <c r="S10" s="42" t="inlineStr">
        <is>
          <t>TAK</t>
        </is>
      </c>
      <c r="T10" s="42" t="inlineStr">
        <is>
          <t>TAK</t>
        </is>
      </c>
      <c r="U10" s="42" t="inlineStr">
        <is>
          <t>TAK</t>
        </is>
      </c>
    </row>
    <row r="11">
      <c r="A11" s="41" t="n">
        <v>8</v>
      </c>
      <c r="B11" s="27" t="inlineStr">
        <is>
          <t>Marketing</t>
        </is>
      </c>
      <c r="C11" s="27" t="inlineStr">
        <is>
          <t>Add All Sp. z o.o.</t>
        </is>
      </c>
      <c r="D11" s="27" t="inlineStr">
        <is>
          <t>SPRZEDAŻ</t>
        </is>
      </c>
      <c r="E11" s="27" t="n"/>
      <c r="F11" s="16" t="n">
        <v>650</v>
      </c>
      <c r="G11" s="16" t="n"/>
      <c r="H11" s="16" t="n"/>
      <c r="I11" s="16" t="n">
        <v>470</v>
      </c>
      <c r="J11" s="42" t="inlineStr">
        <is>
          <t>TAK</t>
        </is>
      </c>
      <c r="K11" s="42" t="inlineStr">
        <is>
          <t>TAK</t>
        </is>
      </c>
      <c r="L11" s="42" t="inlineStr">
        <is>
          <t>TAK</t>
        </is>
      </c>
      <c r="M11" s="42" t="inlineStr">
        <is>
          <t>TAK</t>
        </is>
      </c>
      <c r="N11" s="42" t="inlineStr">
        <is>
          <t>TAK</t>
        </is>
      </c>
      <c r="O11" s="42" t="inlineStr">
        <is>
          <t>TAK</t>
        </is>
      </c>
      <c r="P11" s="42" t="inlineStr">
        <is>
          <t>TAK</t>
        </is>
      </c>
      <c r="Q11" s="42" t="inlineStr">
        <is>
          <t>TAK</t>
        </is>
      </c>
      <c r="R11" s="42" t="inlineStr">
        <is>
          <t>TAK</t>
        </is>
      </c>
      <c r="S11" s="42" t="inlineStr">
        <is>
          <t>TAK</t>
        </is>
      </c>
      <c r="T11" s="42" t="inlineStr">
        <is>
          <t>TAK</t>
        </is>
      </c>
      <c r="U11" s="42" t="inlineStr">
        <is>
          <t>TAK</t>
        </is>
      </c>
    </row>
    <row r="12">
      <c r="A12" s="41" t="n">
        <v>9</v>
      </c>
      <c r="B12" s="27" t="inlineStr">
        <is>
          <t>Usługi telekomunikacyjne</t>
        </is>
      </c>
      <c r="C12" s="27" t="inlineStr">
        <is>
          <t>Add All Sp. z o.o.</t>
        </is>
      </c>
      <c r="D12" s="27" t="inlineStr">
        <is>
          <t>ZARZĄDZANIE</t>
        </is>
      </c>
      <c r="E12" s="27" t="n"/>
      <c r="F12" s="16" t="n">
        <v>600</v>
      </c>
      <c r="G12" s="16" t="n"/>
      <c r="H12" s="16" t="n"/>
      <c r="I12" s="16" t="n">
        <v>600</v>
      </c>
      <c r="J12" s="43" t="inlineStr">
        <is>
          <t>NIE</t>
        </is>
      </c>
      <c r="K12" s="43" t="inlineStr">
        <is>
          <t>NIE</t>
        </is>
      </c>
      <c r="L12" s="43" t="inlineStr">
        <is>
          <t>NIE</t>
        </is>
      </c>
      <c r="M12" s="43" t="inlineStr">
        <is>
          <t>NIE</t>
        </is>
      </c>
      <c r="N12" s="43" t="inlineStr">
        <is>
          <t>NIE</t>
        </is>
      </c>
      <c r="O12" s="43" t="inlineStr">
        <is>
          <t>NIE</t>
        </is>
      </c>
      <c r="P12" s="43" t="inlineStr">
        <is>
          <t>NIE</t>
        </is>
      </c>
      <c r="Q12" s="43" t="inlineStr">
        <is>
          <t>NIE</t>
        </is>
      </c>
      <c r="R12" s="43" t="inlineStr">
        <is>
          <t>NIE</t>
        </is>
      </c>
      <c r="S12" s="43" t="inlineStr">
        <is>
          <t>NIE</t>
        </is>
      </c>
      <c r="T12" s="43" t="inlineStr">
        <is>
          <t>NIE</t>
        </is>
      </c>
      <c r="U12" s="43" t="inlineStr">
        <is>
          <t>NIE</t>
        </is>
      </c>
    </row>
    <row r="13">
      <c r="A13" s="41" t="n">
        <v>10</v>
      </c>
      <c r="B13" s="27" t="inlineStr">
        <is>
          <t>Budżet handlowy</t>
        </is>
      </c>
      <c r="C13" s="27" t="inlineStr">
        <is>
          <t>Add All Sp. z o.o.</t>
        </is>
      </c>
      <c r="D13" s="27" t="inlineStr">
        <is>
          <t>SPRZEDAŻ</t>
        </is>
      </c>
      <c r="E13" s="27" t="inlineStr">
        <is>
          <t>parkingi</t>
        </is>
      </c>
      <c r="F13" s="16" t="n">
        <v>100</v>
      </c>
      <c r="G13" s="16" t="n"/>
      <c r="H13" s="16" t="n"/>
      <c r="I13" s="16" t="n">
        <v>100</v>
      </c>
      <c r="J13" s="42" t="inlineStr">
        <is>
          <t>TAK</t>
        </is>
      </c>
      <c r="K13" s="42" t="inlineStr">
        <is>
          <t>TAK</t>
        </is>
      </c>
      <c r="L13" s="42" t="inlineStr">
        <is>
          <t>TAK</t>
        </is>
      </c>
      <c r="M13" s="42" t="inlineStr">
        <is>
          <t>TAK</t>
        </is>
      </c>
      <c r="N13" s="42" t="inlineStr">
        <is>
          <t>TAK</t>
        </is>
      </c>
      <c r="O13" s="42" t="inlineStr">
        <is>
          <t>TAK</t>
        </is>
      </c>
      <c r="P13" s="42" t="inlineStr">
        <is>
          <t>TAK</t>
        </is>
      </c>
      <c r="Q13" s="42" t="inlineStr">
        <is>
          <t>TAK</t>
        </is>
      </c>
      <c r="R13" s="42" t="inlineStr">
        <is>
          <t>TAK</t>
        </is>
      </c>
      <c r="S13" s="42" t="inlineStr">
        <is>
          <t>TAK</t>
        </is>
      </c>
      <c r="T13" s="42" t="inlineStr">
        <is>
          <t>TAK</t>
        </is>
      </c>
      <c r="U13" s="42" t="inlineStr">
        <is>
          <t>TAK</t>
        </is>
      </c>
    </row>
    <row r="14">
      <c r="A14" s="41" t="n">
        <v>11</v>
      </c>
      <c r="B14" s="27" t="inlineStr">
        <is>
          <t>Budżet na prezenty (klienci-święta)</t>
        </is>
      </c>
      <c r="C14" s="27" t="inlineStr">
        <is>
          <t>Add All Sp. z o.o.</t>
        </is>
      </c>
      <c r="D14" s="27" t="inlineStr">
        <is>
          <t>SPRZEDAŻ</t>
        </is>
      </c>
      <c r="E14" s="27" t="n"/>
      <c r="F14" s="16" t="n">
        <v>10500</v>
      </c>
      <c r="G14" s="16" t="n"/>
      <c r="H14" s="16" t="n"/>
      <c r="I14" s="16" t="n">
        <v>6000</v>
      </c>
      <c r="J14" s="43" t="inlineStr">
        <is>
          <t>NIE</t>
        </is>
      </c>
      <c r="K14" s="43" t="inlineStr">
        <is>
          <t>NIE</t>
        </is>
      </c>
      <c r="L14" s="43" t="inlineStr">
        <is>
          <t>NIE</t>
        </is>
      </c>
      <c r="M14" s="43" t="inlineStr">
        <is>
          <t>NIE</t>
        </is>
      </c>
      <c r="N14" s="43" t="inlineStr">
        <is>
          <t>NIE</t>
        </is>
      </c>
      <c r="O14" s="43" t="inlineStr">
        <is>
          <t>NIE</t>
        </is>
      </c>
      <c r="P14" s="43" t="inlineStr">
        <is>
          <t>NIE</t>
        </is>
      </c>
      <c r="Q14" s="43" t="inlineStr">
        <is>
          <t>NIE</t>
        </is>
      </c>
      <c r="R14" s="43" t="inlineStr">
        <is>
          <t>NIE</t>
        </is>
      </c>
      <c r="S14" s="43" t="inlineStr">
        <is>
          <t>NIE</t>
        </is>
      </c>
      <c r="T14" s="42" t="inlineStr">
        <is>
          <t>TAK</t>
        </is>
      </c>
      <c r="U14" s="43" t="inlineStr">
        <is>
          <t>NIE</t>
        </is>
      </c>
    </row>
    <row r="15">
      <c r="A15" s="41" t="n">
        <v>12</v>
      </c>
      <c r="B15" s="27" t="inlineStr">
        <is>
          <t>Budżet na prezenty (pracownicy)</t>
        </is>
      </c>
      <c r="C15" s="27" t="inlineStr">
        <is>
          <t>Add All Sp. z o.o.</t>
        </is>
      </c>
      <c r="D15" s="27" t="inlineStr">
        <is>
          <t>INNY_1</t>
        </is>
      </c>
      <c r="E15" s="27" t="n"/>
      <c r="F15" s="16" t="n">
        <v>10000</v>
      </c>
      <c r="G15" s="16" t="n"/>
      <c r="H15" s="16" t="n"/>
      <c r="I15" s="16" t="n">
        <v>10000</v>
      </c>
      <c r="J15" s="43" t="inlineStr">
        <is>
          <t>NIE</t>
        </is>
      </c>
      <c r="K15" s="43" t="inlineStr">
        <is>
          <t>NIE</t>
        </is>
      </c>
      <c r="L15" s="43" t="inlineStr">
        <is>
          <t>NIE</t>
        </is>
      </c>
      <c r="M15" s="43" t="inlineStr">
        <is>
          <t>NIE</t>
        </is>
      </c>
      <c r="N15" s="43" t="inlineStr">
        <is>
          <t>NIE</t>
        </is>
      </c>
      <c r="O15" s="43" t="inlineStr">
        <is>
          <t>NIE</t>
        </is>
      </c>
      <c r="P15" s="43" t="inlineStr">
        <is>
          <t>NIE</t>
        </is>
      </c>
      <c r="Q15" s="43" t="inlineStr">
        <is>
          <t>NIE</t>
        </is>
      </c>
      <c r="R15" s="43" t="inlineStr">
        <is>
          <t>NIE</t>
        </is>
      </c>
      <c r="S15" s="43" t="inlineStr">
        <is>
          <t>NIE</t>
        </is>
      </c>
      <c r="T15" s="43" t="inlineStr">
        <is>
          <t>NIE</t>
        </is>
      </c>
      <c r="U15" s="42" t="inlineStr">
        <is>
          <t>TAK</t>
        </is>
      </c>
    </row>
    <row r="16">
      <c r="A16" s="41" t="n">
        <v>13</v>
      </c>
      <c r="B16" s="27" t="inlineStr">
        <is>
          <t>Wigilia</t>
        </is>
      </c>
      <c r="C16" s="27" t="inlineStr">
        <is>
          <t>Add All Sp. z o.o.</t>
        </is>
      </c>
      <c r="D16" s="27" t="inlineStr">
        <is>
          <t>INNY_1</t>
        </is>
      </c>
      <c r="E16" s="27" t="n"/>
      <c r="F16" s="16" t="n">
        <v>5500</v>
      </c>
      <c r="G16" s="16" t="n"/>
      <c r="H16" s="16" t="n"/>
      <c r="I16" s="16" t="n">
        <v>5500</v>
      </c>
      <c r="J16" s="43" t="inlineStr">
        <is>
          <t>NIE</t>
        </is>
      </c>
      <c r="K16" s="43" t="inlineStr">
        <is>
          <t>NIE</t>
        </is>
      </c>
      <c r="L16" s="43" t="inlineStr">
        <is>
          <t>NIE</t>
        </is>
      </c>
      <c r="M16" s="43" t="inlineStr">
        <is>
          <t>NIE</t>
        </is>
      </c>
      <c r="N16" s="43" t="inlineStr">
        <is>
          <t>NIE</t>
        </is>
      </c>
      <c r="O16" s="43" t="inlineStr">
        <is>
          <t>NIE</t>
        </is>
      </c>
      <c r="P16" s="43" t="inlineStr">
        <is>
          <t>NIE</t>
        </is>
      </c>
      <c r="Q16" s="43" t="inlineStr">
        <is>
          <t>NIE</t>
        </is>
      </c>
      <c r="R16" s="43" t="inlineStr">
        <is>
          <t>NIE</t>
        </is>
      </c>
      <c r="S16" s="43" t="inlineStr">
        <is>
          <t>NIE</t>
        </is>
      </c>
      <c r="T16" s="43" t="inlineStr">
        <is>
          <t>NIE</t>
        </is>
      </c>
      <c r="U16" s="42" t="inlineStr">
        <is>
          <t>TAK</t>
        </is>
      </c>
    </row>
    <row r="17">
      <c r="A17" s="41" t="n">
        <v>14</v>
      </c>
      <c r="B17" s="27" t="inlineStr">
        <is>
          <t>Dodatkowe (transport, poczta)</t>
        </is>
      </c>
      <c r="C17" s="27" t="inlineStr">
        <is>
          <t>Add All Sp. z o.o.</t>
        </is>
      </c>
      <c r="D17" s="27" t="inlineStr">
        <is>
          <t>INNY_1</t>
        </is>
      </c>
      <c r="E17" s="27" t="n"/>
      <c r="F17" s="16" t="n">
        <v>600</v>
      </c>
      <c r="G17" s="16" t="n"/>
      <c r="H17" s="16" t="n"/>
      <c r="I17" s="16" t="n">
        <v>940</v>
      </c>
      <c r="J17" s="42" t="inlineStr">
        <is>
          <t>TAK</t>
        </is>
      </c>
      <c r="K17" s="42" t="inlineStr">
        <is>
          <t>TAK</t>
        </is>
      </c>
      <c r="L17" s="42" t="inlineStr">
        <is>
          <t>TAK</t>
        </is>
      </c>
      <c r="M17" s="42" t="inlineStr">
        <is>
          <t>TAK</t>
        </is>
      </c>
      <c r="N17" s="42" t="inlineStr">
        <is>
          <t>TAK</t>
        </is>
      </c>
      <c r="O17" s="42" t="inlineStr">
        <is>
          <t>TAK</t>
        </is>
      </c>
      <c r="P17" s="42" t="inlineStr">
        <is>
          <t>TAK</t>
        </is>
      </c>
      <c r="Q17" s="42" t="inlineStr">
        <is>
          <t>TAK</t>
        </is>
      </c>
      <c r="R17" s="42" t="inlineStr">
        <is>
          <t>TAK</t>
        </is>
      </c>
      <c r="S17" s="42" t="inlineStr">
        <is>
          <t>TAK</t>
        </is>
      </c>
      <c r="T17" s="42" t="inlineStr">
        <is>
          <t>TAK</t>
        </is>
      </c>
      <c r="U17" s="42" t="inlineStr">
        <is>
          <t>TAK</t>
        </is>
      </c>
    </row>
    <row r="18">
      <c r="A18" s="41" t="n">
        <v>15</v>
      </c>
      <c r="B18" s="27" t="inlineStr">
        <is>
          <t>Naprawy, przeglądy</t>
        </is>
      </c>
      <c r="C18" s="27" t="inlineStr">
        <is>
          <t>Add All Sp. z o.o.</t>
        </is>
      </c>
      <c r="D18" s="27" t="inlineStr">
        <is>
          <t>LOGISTYKA</t>
        </is>
      </c>
      <c r="E18" s="27" t="n"/>
      <c r="F18" s="16" t="n">
        <v>2500</v>
      </c>
      <c r="G18" s="16" t="n"/>
      <c r="H18" s="16" t="n"/>
      <c r="I18" s="16" t="n">
        <v>1700</v>
      </c>
      <c r="J18" s="42" t="inlineStr">
        <is>
          <t>TAK</t>
        </is>
      </c>
      <c r="K18" s="42" t="inlineStr">
        <is>
          <t>TAK</t>
        </is>
      </c>
      <c r="L18" s="42" t="inlineStr">
        <is>
          <t>TAK</t>
        </is>
      </c>
      <c r="M18" s="42" t="inlineStr">
        <is>
          <t>TAK</t>
        </is>
      </c>
      <c r="N18" s="42" t="inlineStr">
        <is>
          <t>TAK</t>
        </is>
      </c>
      <c r="O18" s="42" t="inlineStr">
        <is>
          <t>TAK</t>
        </is>
      </c>
      <c r="P18" s="42" t="inlineStr">
        <is>
          <t>TAK</t>
        </is>
      </c>
      <c r="Q18" s="42" t="inlineStr">
        <is>
          <t>TAK</t>
        </is>
      </c>
      <c r="R18" s="42" t="inlineStr">
        <is>
          <t>TAK</t>
        </is>
      </c>
      <c r="S18" s="42" t="inlineStr">
        <is>
          <t>TAK</t>
        </is>
      </c>
      <c r="T18" s="42" t="inlineStr">
        <is>
          <t>TAK</t>
        </is>
      </c>
      <c r="U18" s="42" t="inlineStr">
        <is>
          <t>TAK</t>
        </is>
      </c>
    </row>
    <row r="19">
      <c r="A19" s="41" t="n">
        <v>16</v>
      </c>
      <c r="B19" s="27" t="inlineStr">
        <is>
          <t>Ubezpieczenia samochodów</t>
        </is>
      </c>
      <c r="C19" s="27" t="inlineStr">
        <is>
          <t>Add All Sp. z o.o.</t>
        </is>
      </c>
      <c r="D19" s="27" t="inlineStr">
        <is>
          <t>LOGISTYKA</t>
        </is>
      </c>
      <c r="E19" s="27" t="n"/>
      <c r="F19" s="16" t="n">
        <v>1800</v>
      </c>
      <c r="G19" s="16" t="n"/>
      <c r="H19" s="16" t="n"/>
      <c r="I19" s="16" t="n">
        <v>4658</v>
      </c>
      <c r="J19" s="43" t="inlineStr">
        <is>
          <t>NIE</t>
        </is>
      </c>
      <c r="K19" s="43" t="inlineStr">
        <is>
          <t>NIE</t>
        </is>
      </c>
      <c r="L19" s="43" t="inlineStr">
        <is>
          <t>NIE</t>
        </is>
      </c>
      <c r="M19" s="43" t="inlineStr">
        <is>
          <t>NIE</t>
        </is>
      </c>
      <c r="N19" s="43" t="inlineStr">
        <is>
          <t>NIE</t>
        </is>
      </c>
      <c r="O19" s="43" t="inlineStr">
        <is>
          <t>NIE</t>
        </is>
      </c>
      <c r="P19" s="43" t="inlineStr">
        <is>
          <t>NIE</t>
        </is>
      </c>
      <c r="Q19" s="43" t="inlineStr">
        <is>
          <t>NIE</t>
        </is>
      </c>
      <c r="R19" s="43" t="inlineStr">
        <is>
          <t>NIE</t>
        </is>
      </c>
      <c r="S19" s="43" t="inlineStr">
        <is>
          <t>NIE</t>
        </is>
      </c>
      <c r="T19" s="43" t="inlineStr">
        <is>
          <t>NIE</t>
        </is>
      </c>
      <c r="U19" s="43" t="inlineStr">
        <is>
          <t>NIE</t>
        </is>
      </c>
    </row>
    <row r="20">
      <c r="A20" s="41" t="n">
        <v>17</v>
      </c>
      <c r="B20" s="27" t="inlineStr">
        <is>
          <t>Fundusz nieprzewidziany</t>
        </is>
      </c>
      <c r="C20" s="27" t="inlineStr">
        <is>
          <t>Add All Sp. z o.o.</t>
        </is>
      </c>
      <c r="D20" s="27" t="inlineStr">
        <is>
          <t>ZARZĄDZANIE</t>
        </is>
      </c>
      <c r="E20" s="27" t="n"/>
      <c r="F20" s="16" t="n">
        <v>700</v>
      </c>
      <c r="G20" s="16" t="n"/>
      <c r="H20" s="16" t="n"/>
      <c r="I20" s="16" t="n">
        <v>700</v>
      </c>
      <c r="J20" s="42" t="inlineStr">
        <is>
          <t>TAK</t>
        </is>
      </c>
      <c r="K20" s="42" t="inlineStr">
        <is>
          <t>TAK</t>
        </is>
      </c>
      <c r="L20" s="42" t="inlineStr">
        <is>
          <t>TAK</t>
        </is>
      </c>
      <c r="M20" s="42" t="inlineStr">
        <is>
          <t>TAK</t>
        </is>
      </c>
      <c r="N20" s="42" t="inlineStr">
        <is>
          <t>TAK</t>
        </is>
      </c>
      <c r="O20" s="42" t="inlineStr">
        <is>
          <t>TAK</t>
        </is>
      </c>
      <c r="P20" s="42" t="inlineStr">
        <is>
          <t>TAK</t>
        </is>
      </c>
      <c r="Q20" s="42" t="inlineStr">
        <is>
          <t>TAK</t>
        </is>
      </c>
      <c r="R20" s="42" t="inlineStr">
        <is>
          <t>TAK</t>
        </is>
      </c>
      <c r="S20" s="42" t="inlineStr">
        <is>
          <t>TAK</t>
        </is>
      </c>
      <c r="T20" s="42" t="inlineStr">
        <is>
          <t>TAK</t>
        </is>
      </c>
      <c r="U20" s="42" t="inlineStr">
        <is>
          <t>TAK</t>
        </is>
      </c>
    </row>
    <row r="21">
      <c r="A21" s="41" t="n">
        <v>18</v>
      </c>
      <c r="B21" s="27" t="inlineStr">
        <is>
          <t>Finansowanie</t>
        </is>
      </c>
      <c r="C21" s="27" t="inlineStr">
        <is>
          <t>Add All Sp. z o.o.</t>
        </is>
      </c>
      <c r="D21" s="27" t="inlineStr">
        <is>
          <t>DORADZTWO</t>
        </is>
      </c>
      <c r="E21" s="27" t="n"/>
      <c r="F21" s="16" t="n">
        <v>1250</v>
      </c>
      <c r="G21" s="16" t="n"/>
      <c r="H21" s="16" t="n"/>
      <c r="I21" s="16" t="n">
        <v>1824</v>
      </c>
      <c r="J21" s="42" t="inlineStr">
        <is>
          <t>TAK</t>
        </is>
      </c>
      <c r="K21" s="42" t="inlineStr">
        <is>
          <t>TAK</t>
        </is>
      </c>
      <c r="L21" s="42" t="inlineStr">
        <is>
          <t>TAK</t>
        </is>
      </c>
      <c r="M21" s="42" t="inlineStr">
        <is>
          <t>TAK</t>
        </is>
      </c>
      <c r="N21" s="42" t="inlineStr">
        <is>
          <t>TAK</t>
        </is>
      </c>
      <c r="O21" s="42" t="inlineStr">
        <is>
          <t>TAK</t>
        </is>
      </c>
      <c r="P21" s="42" t="inlineStr">
        <is>
          <t>TAK</t>
        </is>
      </c>
      <c r="Q21" s="42" t="inlineStr">
        <is>
          <t>TAK</t>
        </is>
      </c>
      <c r="R21" s="42" t="inlineStr">
        <is>
          <t>TAK</t>
        </is>
      </c>
      <c r="S21" s="42" t="inlineStr">
        <is>
          <t>TAK</t>
        </is>
      </c>
      <c r="T21" s="42" t="inlineStr">
        <is>
          <t>TAK</t>
        </is>
      </c>
      <c r="U21" s="42" t="inlineStr">
        <is>
          <t>TAK</t>
        </is>
      </c>
    </row>
    <row r="22">
      <c r="A22" s="41" t="n">
        <v>19</v>
      </c>
      <c r="B22" s="27" t="inlineStr">
        <is>
          <t>Zarządzanie Operacyjne od JDG</t>
        </is>
      </c>
      <c r="C22" s="27" t="inlineStr">
        <is>
          <t>Add All Sp. z o.o.</t>
        </is>
      </c>
      <c r="D22" s="27" t="inlineStr">
        <is>
          <t>ZARZĄDZANIE</t>
        </is>
      </c>
      <c r="E22" s="27" t="n"/>
      <c r="F22" s="16" t="n">
        <v>5000</v>
      </c>
      <c r="G22" s="16" t="n"/>
      <c r="H22" s="16" t="n"/>
      <c r="I22" s="16" t="n">
        <v>5000</v>
      </c>
      <c r="J22" s="42" t="inlineStr">
        <is>
          <t>TAK</t>
        </is>
      </c>
      <c r="K22" s="42" t="inlineStr">
        <is>
          <t>TAK</t>
        </is>
      </c>
      <c r="L22" s="42" t="inlineStr">
        <is>
          <t>TAK</t>
        </is>
      </c>
      <c r="M22" s="42" t="inlineStr">
        <is>
          <t>TAK</t>
        </is>
      </c>
      <c r="N22" s="42" t="inlineStr">
        <is>
          <t>TAK</t>
        </is>
      </c>
      <c r="O22" s="42" t="inlineStr">
        <is>
          <t>TAK</t>
        </is>
      </c>
      <c r="P22" s="42" t="inlineStr">
        <is>
          <t>TAK</t>
        </is>
      </c>
      <c r="Q22" s="42" t="inlineStr">
        <is>
          <t>TAK</t>
        </is>
      </c>
      <c r="R22" s="42" t="inlineStr">
        <is>
          <t>TAK</t>
        </is>
      </c>
      <c r="S22" s="42" t="inlineStr">
        <is>
          <t>TAK</t>
        </is>
      </c>
      <c r="T22" s="42" t="inlineStr">
        <is>
          <t>TAK</t>
        </is>
      </c>
      <c r="U22" s="42" t="inlineStr">
        <is>
          <t>TAK</t>
        </is>
      </c>
    </row>
    <row r="23">
      <c r="A23" s="41" t="n">
        <v>20</v>
      </c>
      <c r="B23" s="27" t="inlineStr">
        <is>
          <t>Szkolenia</t>
        </is>
      </c>
      <c r="C23" s="27" t="inlineStr">
        <is>
          <t>Add All Sp. z o.o.</t>
        </is>
      </c>
      <c r="D23" s="27" t="inlineStr">
        <is>
          <t>INNY_1</t>
        </is>
      </c>
      <c r="E23" s="27" t="n"/>
      <c r="F23" s="16" t="n">
        <v>650</v>
      </c>
      <c r="G23" s="16" t="n"/>
      <c r="H23" s="16" t="n"/>
      <c r="I23" s="16" t="n">
        <v>2900</v>
      </c>
      <c r="J23" s="43" t="inlineStr">
        <is>
          <t>NIE</t>
        </is>
      </c>
      <c r="K23" s="43" t="inlineStr">
        <is>
          <t>NIE</t>
        </is>
      </c>
      <c r="L23" s="43" t="inlineStr">
        <is>
          <t>NIE</t>
        </is>
      </c>
      <c r="M23" s="43" t="inlineStr">
        <is>
          <t>NIE</t>
        </is>
      </c>
      <c r="N23" s="43" t="inlineStr">
        <is>
          <t>NIE</t>
        </is>
      </c>
      <c r="O23" s="43" t="inlineStr">
        <is>
          <t>NIE</t>
        </is>
      </c>
      <c r="P23" s="43" t="inlineStr">
        <is>
          <t>NIE</t>
        </is>
      </c>
      <c r="Q23" s="43" t="inlineStr">
        <is>
          <t>NIE</t>
        </is>
      </c>
      <c r="R23" s="43" t="inlineStr">
        <is>
          <t>NIE</t>
        </is>
      </c>
      <c r="S23" s="43" t="inlineStr">
        <is>
          <t>NIE</t>
        </is>
      </c>
      <c r="T23" s="43" t="inlineStr">
        <is>
          <t>NIE</t>
        </is>
      </c>
      <c r="U23" s="43" t="inlineStr">
        <is>
          <t>NIE</t>
        </is>
      </c>
    </row>
    <row r="24">
      <c r="A24" s="41" t="n">
        <v>21</v>
      </c>
      <c r="B24" s="27" t="inlineStr">
        <is>
          <t>Integracja</t>
        </is>
      </c>
      <c r="C24" s="27" t="inlineStr">
        <is>
          <t>Add All Sp. z o.o.</t>
        </is>
      </c>
      <c r="D24" s="27" t="inlineStr">
        <is>
          <t>INNY_1</t>
        </is>
      </c>
      <c r="E24" s="27" t="n"/>
      <c r="F24" s="16" t="n">
        <v>350</v>
      </c>
      <c r="G24" s="16" t="n"/>
      <c r="H24" s="16" t="n"/>
      <c r="I24" s="16" t="n">
        <v>317</v>
      </c>
      <c r="J24" s="43" t="inlineStr">
        <is>
          <t>NIE</t>
        </is>
      </c>
      <c r="K24" s="43" t="inlineStr">
        <is>
          <t>NIE</t>
        </is>
      </c>
      <c r="L24" s="43" t="inlineStr">
        <is>
          <t>NIE</t>
        </is>
      </c>
      <c r="M24" s="43" t="inlineStr">
        <is>
          <t>NIE</t>
        </is>
      </c>
      <c r="N24" s="43" t="inlineStr">
        <is>
          <t>NIE</t>
        </is>
      </c>
      <c r="O24" s="43" t="inlineStr">
        <is>
          <t>NIE</t>
        </is>
      </c>
      <c r="P24" s="43" t="inlineStr">
        <is>
          <t>NIE</t>
        </is>
      </c>
      <c r="Q24" s="43" t="inlineStr">
        <is>
          <t>NIE</t>
        </is>
      </c>
      <c r="R24" s="43" t="inlineStr">
        <is>
          <t>NIE</t>
        </is>
      </c>
      <c r="S24" s="43" t="inlineStr">
        <is>
          <t>NIE</t>
        </is>
      </c>
      <c r="T24" s="43" t="inlineStr">
        <is>
          <t>NIE</t>
        </is>
      </c>
      <c r="U24" s="43" t="inlineStr">
        <is>
          <t>NIE</t>
        </is>
      </c>
    </row>
    <row r="25">
      <c r="A25" s="41" t="n">
        <v>22</v>
      </c>
      <c r="B25" s="27" t="n"/>
      <c r="C25" s="27" t="inlineStr">
        <is>
          <t>Add All Sp. z o.o.</t>
        </is>
      </c>
      <c r="D25" s="27" t="n"/>
      <c r="E25" s="27" t="n"/>
      <c r="F25" s="16" t="n"/>
      <c r="G25" s="16" t="n"/>
      <c r="H25" s="16" t="n"/>
      <c r="I25" s="16" t="n"/>
      <c r="J25" s="43" t="inlineStr">
        <is>
          <t>NIE</t>
        </is>
      </c>
      <c r="K25" s="43" t="inlineStr">
        <is>
          <t>NIE</t>
        </is>
      </c>
      <c r="L25" s="43" t="inlineStr">
        <is>
          <t>NIE</t>
        </is>
      </c>
      <c r="M25" s="43" t="inlineStr">
        <is>
          <t>NIE</t>
        </is>
      </c>
      <c r="N25" s="43" t="inlineStr">
        <is>
          <t>NIE</t>
        </is>
      </c>
      <c r="O25" s="43" t="inlineStr">
        <is>
          <t>NIE</t>
        </is>
      </c>
      <c r="P25" s="43" t="inlineStr">
        <is>
          <t>NIE</t>
        </is>
      </c>
      <c r="Q25" s="43" t="inlineStr">
        <is>
          <t>NIE</t>
        </is>
      </c>
      <c r="R25" s="43" t="inlineStr">
        <is>
          <t>NIE</t>
        </is>
      </c>
      <c r="S25" s="43" t="inlineStr">
        <is>
          <t>NIE</t>
        </is>
      </c>
      <c r="T25" s="43" t="inlineStr">
        <is>
          <t>NIE</t>
        </is>
      </c>
      <c r="U25" s="43" t="inlineStr">
        <is>
          <t>NIE</t>
        </is>
      </c>
    </row>
    <row r="26">
      <c r="A26" s="41" t="n">
        <v>23</v>
      </c>
      <c r="B26" s="27" t="n"/>
      <c r="C26" s="27" t="inlineStr">
        <is>
          <t>Add All Sp. z o.o.</t>
        </is>
      </c>
      <c r="D26" s="27" t="n"/>
      <c r="E26" s="27" t="n"/>
      <c r="F26" s="16" t="n"/>
      <c r="G26" s="16" t="n"/>
      <c r="H26" s="16" t="n"/>
      <c r="I26" s="16" t="n"/>
      <c r="J26" s="43" t="inlineStr">
        <is>
          <t>NIE</t>
        </is>
      </c>
      <c r="K26" s="43" t="inlineStr">
        <is>
          <t>NIE</t>
        </is>
      </c>
      <c r="L26" s="43" t="inlineStr">
        <is>
          <t>NIE</t>
        </is>
      </c>
      <c r="M26" s="43" t="inlineStr">
        <is>
          <t>NIE</t>
        </is>
      </c>
      <c r="N26" s="43" t="inlineStr">
        <is>
          <t>NIE</t>
        </is>
      </c>
      <c r="O26" s="43" t="inlineStr">
        <is>
          <t>NIE</t>
        </is>
      </c>
      <c r="P26" s="43" t="inlineStr">
        <is>
          <t>NIE</t>
        </is>
      </c>
      <c r="Q26" s="43" t="inlineStr">
        <is>
          <t>NIE</t>
        </is>
      </c>
      <c r="R26" s="43" t="inlineStr">
        <is>
          <t>NIE</t>
        </is>
      </c>
      <c r="S26" s="43" t="inlineStr">
        <is>
          <t>NIE</t>
        </is>
      </c>
      <c r="T26" s="43" t="inlineStr">
        <is>
          <t>NIE</t>
        </is>
      </c>
      <c r="U26" s="43" t="inlineStr">
        <is>
          <t>NIE</t>
        </is>
      </c>
    </row>
  </sheetData>
  <mergeCells count="2">
    <mergeCell ref="A2:E2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U25"/>
  <sheetViews>
    <sheetView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J10" sqref="J10"/>
    </sheetView>
  </sheetViews>
  <sheetFormatPr baseColWidth="8" defaultRowHeight="14.25"/>
  <cols>
    <col width="6" customWidth="1" min="1" max="1"/>
    <col width="40" customWidth="1" min="2" max="2"/>
    <col width="22" customWidth="1" min="3" max="3"/>
    <col width="16" customWidth="1" min="4" max="4"/>
    <col width="14" customWidth="1" min="5" max="5"/>
    <col width="12" customWidth="1" min="6" max="8"/>
    <col width="16" customWidth="1" min="9" max="9"/>
    <col width="12" customWidth="1" min="10" max="21"/>
  </cols>
  <sheetData>
    <row r="1" ht="18" customHeight="1">
      <c r="A1" s="73" t="inlineStr">
        <is>
          <t>SAMOCHODY I FLOTA 2026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20" t="n"/>
    </row>
    <row r="2">
      <c r="A2" s="72" t="inlineStr">
        <is>
          <t>SAMOCHODY ADDALL SP. Z O.O. — TOTAL</t>
        </is>
      </c>
      <c r="B2" s="119" t="n"/>
      <c r="C2" s="119" t="n"/>
      <c r="D2" s="119" t="n"/>
      <c r="E2" s="120" t="n"/>
      <c r="F2" s="72" t="n"/>
      <c r="G2" s="72" t="n"/>
      <c r="H2" s="72" t="n"/>
      <c r="I2" s="72" t="n"/>
      <c r="J2" s="47">
        <f>SUMPRODUCT(($J4:$J13="TAK")*($I4:$I13))</f>
        <v/>
      </c>
      <c r="K2" s="47">
        <f>SUMPRODUCT(($K4:$K13="TAK")*($I4:$I13))</f>
        <v/>
      </c>
      <c r="L2" s="47">
        <f>SUMPRODUCT(($L4:$L13="TAK")*($I4:$I13))</f>
        <v/>
      </c>
      <c r="M2" s="47">
        <f>SUMPRODUCT(($M4:$M13="TAK")*($I4:$I13))</f>
        <v/>
      </c>
      <c r="N2" s="47">
        <f>SUMPRODUCT(($N4:$N13="TAK")*($I4:$I13))</f>
        <v/>
      </c>
      <c r="O2" s="47">
        <f>SUMPRODUCT(($O4:$O13="TAK")*($I4:$I13))</f>
        <v/>
      </c>
      <c r="P2" s="47">
        <f>SUMPRODUCT(($P4:$P13="TAK")*($I4:$I13))</f>
        <v/>
      </c>
      <c r="Q2" s="47">
        <f>SUMPRODUCT(($Q4:$Q13="TAK")*($I4:$I13))</f>
        <v/>
      </c>
      <c r="R2" s="47">
        <f>SUMPRODUCT(($R4:$R13="TAK")*($I4:$I13))</f>
        <v/>
      </c>
      <c r="S2" s="47">
        <f>SUMPRODUCT(($S4:$S13="TAK")*($I4:$I13))</f>
        <v/>
      </c>
      <c r="T2" s="47">
        <f>SUMPRODUCT(($T4:$T13="TAK")*($I4:$I13))</f>
        <v/>
      </c>
      <c r="U2" s="47">
        <f>SUMPRODUCT(($U4:$U13="TAK")*($I4:$I13))</f>
        <v/>
      </c>
    </row>
    <row r="3">
      <c r="A3" s="7" t="inlineStr">
        <is>
          <t>Lp.</t>
        </is>
      </c>
      <c r="B3" s="7" t="inlineStr">
        <is>
          <t>OPIS</t>
        </is>
      </c>
      <c r="C3" s="7" t="inlineStr">
        <is>
          <t>FIRMA</t>
        </is>
      </c>
      <c r="D3" s="7" t="inlineStr">
        <is>
          <t>DZIAŁ</t>
        </is>
      </c>
      <c r="E3" s="7" t="inlineStr">
        <is>
          <t>RODZAJ</t>
        </is>
      </c>
      <c r="F3" s="7" t="inlineStr">
        <is>
          <t>NETTO</t>
        </is>
      </c>
      <c r="G3" s="7" t="inlineStr">
        <is>
          <t>BRUTTO</t>
        </is>
      </c>
      <c r="H3" s="7" t="inlineStr">
        <is>
          <t>VAT</t>
        </is>
      </c>
      <c r="I3" s="7" t="inlineStr">
        <is>
          <t>KOSZT</t>
        </is>
      </c>
      <c r="J3" s="7" t="inlineStr">
        <is>
          <t>Sty</t>
        </is>
      </c>
      <c r="K3" s="7" t="inlineStr">
        <is>
          <t>Lut</t>
        </is>
      </c>
      <c r="L3" s="7" t="inlineStr">
        <is>
          <t>Mar</t>
        </is>
      </c>
      <c r="M3" s="7" t="inlineStr">
        <is>
          <t>Kwi</t>
        </is>
      </c>
      <c r="N3" s="7" t="inlineStr">
        <is>
          <t>Maj</t>
        </is>
      </c>
      <c r="O3" s="7" t="inlineStr">
        <is>
          <t>Cze</t>
        </is>
      </c>
      <c r="P3" s="7" t="inlineStr">
        <is>
          <t>Lip</t>
        </is>
      </c>
      <c r="Q3" s="7" t="inlineStr">
        <is>
          <t>Sie</t>
        </is>
      </c>
      <c r="R3" s="7" t="inlineStr">
        <is>
          <t>Wrz</t>
        </is>
      </c>
      <c r="S3" s="7" t="inlineStr">
        <is>
          <t>Paź</t>
        </is>
      </c>
      <c r="T3" s="7" t="inlineStr">
        <is>
          <t>Lis</t>
        </is>
      </c>
      <c r="U3" s="7" t="inlineStr">
        <is>
          <t>Gru</t>
        </is>
      </c>
    </row>
    <row r="4">
      <c r="A4" s="41" t="n">
        <v>1</v>
      </c>
      <c r="B4" s="27" t="inlineStr">
        <is>
          <t>Dzierżawa z AddAll JDG</t>
        </is>
      </c>
      <c r="C4" s="27" t="inlineStr">
        <is>
          <t>Add All Sp. z o.o.</t>
        </is>
      </c>
      <c r="D4" s="27" t="inlineStr">
        <is>
          <t>LOGISTYKA</t>
        </is>
      </c>
      <c r="E4" s="27" t="inlineStr">
        <is>
          <t>Dzierżawa</t>
        </is>
      </c>
      <c r="F4" s="16" t="n">
        <v>7000</v>
      </c>
      <c r="G4" s="16" t="n"/>
      <c r="H4" s="16" t="n"/>
      <c r="I4" s="16" t="n">
        <v>3900</v>
      </c>
      <c r="J4" s="42" t="inlineStr">
        <is>
          <t>TAK</t>
        </is>
      </c>
      <c r="K4" s="42" t="inlineStr">
        <is>
          <t>TAK</t>
        </is>
      </c>
      <c r="L4" s="42" t="inlineStr">
        <is>
          <t>TAK</t>
        </is>
      </c>
      <c r="M4" s="42" t="inlineStr">
        <is>
          <t>TAK</t>
        </is>
      </c>
      <c r="N4" s="42" t="inlineStr">
        <is>
          <t>TAK</t>
        </is>
      </c>
      <c r="O4" s="42" t="inlineStr">
        <is>
          <t>TAK</t>
        </is>
      </c>
      <c r="P4" s="42" t="inlineStr">
        <is>
          <t>TAK</t>
        </is>
      </c>
      <c r="Q4" s="42" t="inlineStr">
        <is>
          <t>TAK</t>
        </is>
      </c>
      <c r="R4" s="42" t="inlineStr">
        <is>
          <t>TAK</t>
        </is>
      </c>
      <c r="S4" s="42" t="inlineStr">
        <is>
          <t>TAK</t>
        </is>
      </c>
      <c r="T4" s="42" t="inlineStr">
        <is>
          <t>TAK</t>
        </is>
      </c>
      <c r="U4" s="42" t="inlineStr">
        <is>
          <t>TAK</t>
        </is>
      </c>
    </row>
    <row r="5">
      <c r="A5" s="41" t="n">
        <v>2</v>
      </c>
      <c r="B5" s="27" t="inlineStr">
        <is>
          <t>Opel Movano WU2520S LEASING</t>
        </is>
      </c>
      <c r="C5" s="27" t="inlineStr">
        <is>
          <t>Add All Sp. z o.o.</t>
        </is>
      </c>
      <c r="D5" s="27" t="inlineStr">
        <is>
          <t>LOGISTYKA</t>
        </is>
      </c>
      <c r="E5" s="27" t="inlineStr">
        <is>
          <t>Leasing</t>
        </is>
      </c>
      <c r="F5" s="16" t="n">
        <v>2498</v>
      </c>
      <c r="G5" s="16" t="n"/>
      <c r="H5" s="16" t="n"/>
      <c r="I5" s="16" t="n">
        <v>2475</v>
      </c>
      <c r="J5" s="42" t="inlineStr">
        <is>
          <t>TAK</t>
        </is>
      </c>
      <c r="K5" s="42" t="inlineStr">
        <is>
          <t>TAK</t>
        </is>
      </c>
      <c r="L5" s="42" t="inlineStr">
        <is>
          <t>TAK</t>
        </is>
      </c>
      <c r="M5" s="42" t="inlineStr">
        <is>
          <t>TAK</t>
        </is>
      </c>
      <c r="N5" s="42" t="inlineStr">
        <is>
          <t>TAK</t>
        </is>
      </c>
      <c r="O5" s="42" t="inlineStr">
        <is>
          <t>TAK</t>
        </is>
      </c>
      <c r="P5" s="42" t="inlineStr">
        <is>
          <t>TAK</t>
        </is>
      </c>
      <c r="Q5" s="42" t="inlineStr">
        <is>
          <t>TAK</t>
        </is>
      </c>
      <c r="R5" s="42" t="inlineStr">
        <is>
          <t>TAK</t>
        </is>
      </c>
      <c r="S5" s="42" t="inlineStr">
        <is>
          <t>TAK</t>
        </is>
      </c>
      <c r="T5" s="42" t="inlineStr">
        <is>
          <t>TAK</t>
        </is>
      </c>
      <c r="U5" s="42" t="inlineStr">
        <is>
          <t>TAK</t>
        </is>
      </c>
    </row>
    <row r="6">
      <c r="A6" s="41" t="n">
        <v>3</v>
      </c>
      <c r="B6" s="27" t="inlineStr">
        <is>
          <t>Ford Custom leasing</t>
        </is>
      </c>
      <c r="C6" s="27" t="inlineStr">
        <is>
          <t>Add All Sp. z o.o.</t>
        </is>
      </c>
      <c r="D6" s="27" t="inlineStr">
        <is>
          <t>LOGISTYKA</t>
        </is>
      </c>
      <c r="E6" s="27" t="inlineStr">
        <is>
          <t>Leasing</t>
        </is>
      </c>
      <c r="F6" s="16" t="n">
        <v>1706</v>
      </c>
      <c r="G6" s="16" t="n"/>
      <c r="H6" s="16" t="n"/>
      <c r="I6" s="16" t="n">
        <v>1687</v>
      </c>
      <c r="J6" s="42" t="inlineStr">
        <is>
          <t>TAK</t>
        </is>
      </c>
      <c r="K6" s="42" t="inlineStr">
        <is>
          <t>TAK</t>
        </is>
      </c>
      <c r="L6" s="42" t="inlineStr">
        <is>
          <t>TAK</t>
        </is>
      </c>
      <c r="M6" s="42" t="inlineStr">
        <is>
          <t>TAK</t>
        </is>
      </c>
      <c r="N6" s="42" t="inlineStr">
        <is>
          <t>TAK</t>
        </is>
      </c>
      <c r="O6" s="42" t="inlineStr">
        <is>
          <t>TAK</t>
        </is>
      </c>
      <c r="P6" s="42" t="inlineStr">
        <is>
          <t>TAK</t>
        </is>
      </c>
      <c r="Q6" s="42" t="inlineStr">
        <is>
          <t>TAK</t>
        </is>
      </c>
      <c r="R6" s="42" t="inlineStr">
        <is>
          <t>TAK</t>
        </is>
      </c>
      <c r="S6" s="42" t="inlineStr">
        <is>
          <t>TAK</t>
        </is>
      </c>
      <c r="T6" s="42" t="inlineStr">
        <is>
          <t>TAK</t>
        </is>
      </c>
      <c r="U6" s="42" t="inlineStr">
        <is>
          <t>TAK</t>
        </is>
      </c>
    </row>
    <row r="7">
      <c r="A7" s="41" t="n">
        <v>4</v>
      </c>
      <c r="B7" s="27" t="inlineStr">
        <is>
          <t>2xBMW 3 rata leasingowa</t>
        </is>
      </c>
      <c r="C7" s="27" t="inlineStr">
        <is>
          <t>Add All Sp. z o.o.</t>
        </is>
      </c>
      <c r="D7" s="27" t="inlineStr">
        <is>
          <t>LOGISTYKA</t>
        </is>
      </c>
      <c r="E7" s="27" t="inlineStr">
        <is>
          <t>Leasing</t>
        </is>
      </c>
      <c r="F7" s="16" t="n"/>
      <c r="G7" s="16" t="n"/>
      <c r="H7" s="16" t="n"/>
      <c r="I7" s="16" t="n">
        <v>3298</v>
      </c>
      <c r="J7" s="42" t="inlineStr">
        <is>
          <t>TAK</t>
        </is>
      </c>
      <c r="K7" s="42" t="inlineStr">
        <is>
          <t>TAK</t>
        </is>
      </c>
      <c r="L7" s="42" t="inlineStr">
        <is>
          <t>TAK</t>
        </is>
      </c>
      <c r="M7" s="42" t="inlineStr">
        <is>
          <t>TAK</t>
        </is>
      </c>
      <c r="N7" s="42" t="inlineStr">
        <is>
          <t>TAK</t>
        </is>
      </c>
      <c r="O7" s="42" t="inlineStr">
        <is>
          <t>TAK</t>
        </is>
      </c>
      <c r="P7" s="42" t="inlineStr">
        <is>
          <t>TAK</t>
        </is>
      </c>
      <c r="Q7" s="42" t="inlineStr">
        <is>
          <t>TAK</t>
        </is>
      </c>
      <c r="R7" s="42" t="inlineStr">
        <is>
          <t>TAK</t>
        </is>
      </c>
      <c r="S7" s="42" t="inlineStr">
        <is>
          <t>TAK</t>
        </is>
      </c>
      <c r="T7" s="42" t="inlineStr">
        <is>
          <t>TAK</t>
        </is>
      </c>
      <c r="U7" s="42" t="inlineStr">
        <is>
          <t>TAK</t>
        </is>
      </c>
    </row>
    <row r="8">
      <c r="A8" s="41" t="n">
        <v>5</v>
      </c>
      <c r="B8" s="27" t="inlineStr">
        <is>
          <t>Widziszwszystko (GPS)</t>
        </is>
      </c>
      <c r="C8" s="27" t="inlineStr">
        <is>
          <t>Add All Sp. z o.o.</t>
        </is>
      </c>
      <c r="D8" s="27" t="inlineStr">
        <is>
          <t>LOGISTYKA</t>
        </is>
      </c>
      <c r="E8" s="27" t="inlineStr">
        <is>
          <t>Usługa</t>
        </is>
      </c>
      <c r="F8" s="16" t="n"/>
      <c r="G8" s="16" t="n"/>
      <c r="H8" s="16" t="n"/>
      <c r="I8" s="16" t="n">
        <v>300</v>
      </c>
      <c r="J8" s="42" t="inlineStr">
        <is>
          <t>TAK</t>
        </is>
      </c>
      <c r="K8" s="42" t="inlineStr">
        <is>
          <t>TAK</t>
        </is>
      </c>
      <c r="L8" s="42" t="inlineStr">
        <is>
          <t>TAK</t>
        </is>
      </c>
      <c r="M8" s="42" t="inlineStr">
        <is>
          <t>TAK</t>
        </is>
      </c>
      <c r="N8" s="42" t="inlineStr">
        <is>
          <t>TAK</t>
        </is>
      </c>
      <c r="O8" s="42" t="inlineStr">
        <is>
          <t>TAK</t>
        </is>
      </c>
      <c r="P8" s="42" t="inlineStr">
        <is>
          <t>TAK</t>
        </is>
      </c>
      <c r="Q8" s="42" t="inlineStr">
        <is>
          <t>TAK</t>
        </is>
      </c>
      <c r="R8" s="42" t="inlineStr">
        <is>
          <t>TAK</t>
        </is>
      </c>
      <c r="S8" s="42" t="inlineStr">
        <is>
          <t>TAK</t>
        </is>
      </c>
      <c r="T8" s="42" t="inlineStr">
        <is>
          <t>TAK</t>
        </is>
      </c>
      <c r="U8" s="42" t="inlineStr">
        <is>
          <t>TAK</t>
        </is>
      </c>
    </row>
    <row r="9">
      <c r="A9" s="41" t="n">
        <v>6</v>
      </c>
      <c r="B9" s="27" t="inlineStr">
        <is>
          <t>Paliwo (flota)</t>
        </is>
      </c>
      <c r="C9" s="27" t="inlineStr">
        <is>
          <t>Add All Sp. z o.o.</t>
        </is>
      </c>
      <c r="D9" s="27" t="inlineStr">
        <is>
          <t>LOGISTYKA</t>
        </is>
      </c>
      <c r="E9" s="27" t="inlineStr">
        <is>
          <t>Eksploat.</t>
        </is>
      </c>
      <c r="F9" s="16" t="n"/>
      <c r="G9" s="16" t="n"/>
      <c r="H9" s="16" t="n"/>
      <c r="I9" s="16" t="n">
        <v>2714</v>
      </c>
      <c r="J9" s="42" t="inlineStr">
        <is>
          <t>TAK</t>
        </is>
      </c>
      <c r="K9" s="42" t="inlineStr">
        <is>
          <t>TAK</t>
        </is>
      </c>
      <c r="L9" s="42" t="inlineStr">
        <is>
          <t>TAK</t>
        </is>
      </c>
      <c r="M9" s="42" t="inlineStr">
        <is>
          <t>TAK</t>
        </is>
      </c>
      <c r="N9" s="42" t="inlineStr">
        <is>
          <t>TAK</t>
        </is>
      </c>
      <c r="O9" s="42" t="inlineStr">
        <is>
          <t>TAK</t>
        </is>
      </c>
      <c r="P9" s="42" t="inlineStr">
        <is>
          <t>TAK</t>
        </is>
      </c>
      <c r="Q9" s="42" t="inlineStr">
        <is>
          <t>TAK</t>
        </is>
      </c>
      <c r="R9" s="42" t="inlineStr">
        <is>
          <t>TAK</t>
        </is>
      </c>
      <c r="S9" s="42" t="inlineStr">
        <is>
          <t>TAK</t>
        </is>
      </c>
      <c r="T9" s="42" t="inlineStr">
        <is>
          <t>TAK</t>
        </is>
      </c>
      <c r="U9" s="42" t="inlineStr">
        <is>
          <t>TAK</t>
        </is>
      </c>
    </row>
    <row r="10">
      <c r="A10" s="41" t="n">
        <v>7</v>
      </c>
      <c r="B10" s="27" t="inlineStr">
        <is>
          <t>Naprawy, przeglądy, opony</t>
        </is>
      </c>
      <c r="C10" s="27" t="inlineStr">
        <is>
          <t>Add All Sp. z o.o.</t>
        </is>
      </c>
      <c r="D10" s="27" t="inlineStr">
        <is>
          <t>LOGISTYKA</t>
        </is>
      </c>
      <c r="E10" s="27" t="inlineStr">
        <is>
          <t>Eksploat.</t>
        </is>
      </c>
      <c r="F10" s="16" t="n"/>
      <c r="G10" s="16" t="n"/>
      <c r="H10" s="16" t="n"/>
      <c r="I10" s="16" t="n">
        <v>1204</v>
      </c>
      <c r="J10" s="42" t="inlineStr">
        <is>
          <t>TAK</t>
        </is>
      </c>
      <c r="K10" s="42" t="inlineStr">
        <is>
          <t>TAK</t>
        </is>
      </c>
      <c r="L10" s="42" t="inlineStr">
        <is>
          <t>TAK</t>
        </is>
      </c>
      <c r="M10" s="42" t="inlineStr">
        <is>
          <t>TAK</t>
        </is>
      </c>
      <c r="N10" s="42" t="inlineStr">
        <is>
          <t>TAK</t>
        </is>
      </c>
      <c r="O10" s="42" t="inlineStr">
        <is>
          <t>TAK</t>
        </is>
      </c>
      <c r="P10" s="42" t="inlineStr">
        <is>
          <t>TAK</t>
        </is>
      </c>
      <c r="Q10" s="42" t="inlineStr">
        <is>
          <t>TAK</t>
        </is>
      </c>
      <c r="R10" s="42" t="inlineStr">
        <is>
          <t>TAK</t>
        </is>
      </c>
      <c r="S10" s="42" t="inlineStr">
        <is>
          <t>TAK</t>
        </is>
      </c>
      <c r="T10" s="42" t="inlineStr">
        <is>
          <t>TAK</t>
        </is>
      </c>
      <c r="U10" s="42" t="inlineStr">
        <is>
          <t>TAK</t>
        </is>
      </c>
    </row>
    <row r="11">
      <c r="A11" s="41" t="n">
        <v>8</v>
      </c>
      <c r="B11" s="27" t="inlineStr">
        <is>
          <t>Ubezpieczenia pojazdów</t>
        </is>
      </c>
      <c r="C11" s="27" t="inlineStr">
        <is>
          <t>Add All Sp. z o.o.</t>
        </is>
      </c>
      <c r="D11" s="27" t="inlineStr">
        <is>
          <t>LOGISTYKA</t>
        </is>
      </c>
      <c r="E11" s="27" t="inlineStr">
        <is>
          <t>Ubezp.</t>
        </is>
      </c>
      <c r="F11" s="16" t="n"/>
      <c r="G11" s="16" t="n"/>
      <c r="H11" s="16" t="n"/>
      <c r="I11" s="16" t="n">
        <v>2760</v>
      </c>
      <c r="J11" s="43" t="inlineStr">
        <is>
          <t>NIE</t>
        </is>
      </c>
      <c r="K11" s="43" t="inlineStr">
        <is>
          <t>NIE</t>
        </is>
      </c>
      <c r="L11" s="43" t="inlineStr">
        <is>
          <t>NIE</t>
        </is>
      </c>
      <c r="M11" s="43" t="inlineStr">
        <is>
          <t>NIE</t>
        </is>
      </c>
      <c r="N11" s="43" t="inlineStr">
        <is>
          <t>NIE</t>
        </is>
      </c>
      <c r="O11" s="43" t="inlineStr">
        <is>
          <t>NIE</t>
        </is>
      </c>
      <c r="P11" s="43" t="inlineStr">
        <is>
          <t>NIE</t>
        </is>
      </c>
      <c r="Q11" s="43" t="inlineStr">
        <is>
          <t>NIE</t>
        </is>
      </c>
      <c r="R11" s="43" t="inlineStr">
        <is>
          <t>NIE</t>
        </is>
      </c>
      <c r="S11" s="43" t="inlineStr">
        <is>
          <t>NIE</t>
        </is>
      </c>
      <c r="T11" s="43" t="inlineStr">
        <is>
          <t>NIE</t>
        </is>
      </c>
      <c r="U11" s="43" t="inlineStr">
        <is>
          <t>NIE</t>
        </is>
      </c>
    </row>
    <row r="12">
      <c r="A12" s="41" t="n">
        <v>9</v>
      </c>
      <c r="B12" s="27" t="n"/>
      <c r="C12" s="27" t="inlineStr">
        <is>
          <t>Add All Sp. z o.o.</t>
        </is>
      </c>
      <c r="D12" s="27" t="n"/>
      <c r="E12" s="27" t="n"/>
      <c r="F12" s="16" t="n"/>
      <c r="G12" s="16" t="n"/>
      <c r="H12" s="16" t="n"/>
      <c r="I12" s="16" t="n"/>
      <c r="J12" s="43" t="inlineStr">
        <is>
          <t>NIE</t>
        </is>
      </c>
      <c r="K12" s="43" t="inlineStr">
        <is>
          <t>NIE</t>
        </is>
      </c>
      <c r="L12" s="43" t="inlineStr">
        <is>
          <t>NIE</t>
        </is>
      </c>
      <c r="M12" s="43" t="inlineStr">
        <is>
          <t>NIE</t>
        </is>
      </c>
      <c r="N12" s="43" t="inlineStr">
        <is>
          <t>NIE</t>
        </is>
      </c>
      <c r="O12" s="43" t="inlineStr">
        <is>
          <t>NIE</t>
        </is>
      </c>
      <c r="P12" s="43" t="inlineStr">
        <is>
          <t>NIE</t>
        </is>
      </c>
      <c r="Q12" s="43" t="inlineStr">
        <is>
          <t>NIE</t>
        </is>
      </c>
      <c r="R12" s="43" t="inlineStr">
        <is>
          <t>NIE</t>
        </is>
      </c>
      <c r="S12" s="43" t="inlineStr">
        <is>
          <t>NIE</t>
        </is>
      </c>
      <c r="T12" s="43" t="inlineStr">
        <is>
          <t>NIE</t>
        </is>
      </c>
      <c r="U12" s="43" t="inlineStr">
        <is>
          <t>NIE</t>
        </is>
      </c>
    </row>
    <row r="13">
      <c r="A13" s="41" t="n">
        <v>10</v>
      </c>
      <c r="B13" s="27" t="n"/>
      <c r="C13" s="27" t="inlineStr">
        <is>
          <t>Add All Sp. z o.o.</t>
        </is>
      </c>
      <c r="D13" s="27" t="n"/>
      <c r="E13" s="27" t="n"/>
      <c r="F13" s="16" t="n"/>
      <c r="G13" s="16" t="n"/>
      <c r="H13" s="16" t="n"/>
      <c r="I13" s="16" t="n"/>
      <c r="J13" s="43" t="inlineStr">
        <is>
          <t>NIE</t>
        </is>
      </c>
      <c r="K13" s="43" t="inlineStr">
        <is>
          <t>NIE</t>
        </is>
      </c>
      <c r="L13" s="43" t="inlineStr">
        <is>
          <t>NIE</t>
        </is>
      </c>
      <c r="M13" s="43" t="inlineStr">
        <is>
          <t>NIE</t>
        </is>
      </c>
      <c r="N13" s="43" t="inlineStr">
        <is>
          <t>NIE</t>
        </is>
      </c>
      <c r="O13" s="43" t="inlineStr">
        <is>
          <t>NIE</t>
        </is>
      </c>
      <c r="P13" s="43" t="inlineStr">
        <is>
          <t>NIE</t>
        </is>
      </c>
      <c r="Q13" s="43" t="inlineStr">
        <is>
          <t>NIE</t>
        </is>
      </c>
      <c r="R13" s="43" t="inlineStr">
        <is>
          <t>NIE</t>
        </is>
      </c>
      <c r="S13" s="43" t="inlineStr">
        <is>
          <t>NIE</t>
        </is>
      </c>
      <c r="T13" s="43" t="inlineStr">
        <is>
          <t>NIE</t>
        </is>
      </c>
      <c r="U13" s="43" t="inlineStr">
        <is>
          <t>NIE</t>
        </is>
      </c>
    </row>
    <row r="16">
      <c r="A16" s="70" t="inlineStr">
        <is>
          <t>SAMOCHODY ADDALL JDG</t>
        </is>
      </c>
      <c r="B16" s="119" t="n"/>
      <c r="C16" s="119" t="n"/>
      <c r="D16" s="119" t="n"/>
      <c r="E16" s="119" t="n"/>
      <c r="F16" s="119" t="n"/>
      <c r="G16" s="119" t="n"/>
      <c r="H16" s="119" t="n"/>
      <c r="I16" s="12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</row>
    <row r="17">
      <c r="A17" s="7" t="inlineStr">
        <is>
          <t>Lp.</t>
        </is>
      </c>
      <c r="B17" s="7" t="inlineStr">
        <is>
          <t>OPIS</t>
        </is>
      </c>
      <c r="C17" s="7" t="inlineStr">
        <is>
          <t>FIRMA</t>
        </is>
      </c>
      <c r="D17" s="7" t="inlineStr">
        <is>
          <t>DZIAŁ</t>
        </is>
      </c>
      <c r="E17" s="7" t="inlineStr">
        <is>
          <t>RODZAJ</t>
        </is>
      </c>
      <c r="F17" s="7" t="inlineStr">
        <is>
          <t>NETTO</t>
        </is>
      </c>
      <c r="G17" s="7" t="inlineStr">
        <is>
          <t>BRUTTO</t>
        </is>
      </c>
      <c r="H17" s="7" t="inlineStr">
        <is>
          <t>VAT</t>
        </is>
      </c>
      <c r="I17" s="7" t="inlineStr">
        <is>
          <t>KOSZT</t>
        </is>
      </c>
      <c r="J17" s="7" t="inlineStr">
        <is>
          <t>Sty</t>
        </is>
      </c>
      <c r="K17" s="7" t="inlineStr">
        <is>
          <t>Lut</t>
        </is>
      </c>
      <c r="L17" s="7" t="inlineStr">
        <is>
          <t>Mar</t>
        </is>
      </c>
      <c r="M17" s="7" t="inlineStr">
        <is>
          <t>Kwi</t>
        </is>
      </c>
      <c r="N17" s="7" t="inlineStr">
        <is>
          <t>Maj</t>
        </is>
      </c>
      <c r="O17" s="7" t="inlineStr">
        <is>
          <t>Cze</t>
        </is>
      </c>
      <c r="P17" s="7" t="inlineStr">
        <is>
          <t>Lip</t>
        </is>
      </c>
      <c r="Q17" s="7" t="inlineStr">
        <is>
          <t>Sie</t>
        </is>
      </c>
      <c r="R17" s="7" t="inlineStr">
        <is>
          <t>Wrz</t>
        </is>
      </c>
      <c r="S17" s="7" t="inlineStr">
        <is>
          <t>Paź</t>
        </is>
      </c>
      <c r="T17" s="7" t="inlineStr">
        <is>
          <t>Lis</t>
        </is>
      </c>
      <c r="U17" s="7" t="inlineStr">
        <is>
          <t>Gru</t>
        </is>
      </c>
    </row>
    <row r="18">
      <c r="A18" s="27" t="n">
        <v>1</v>
      </c>
      <c r="B18" s="27" t="inlineStr">
        <is>
          <t>Peugeot Expert WBR 74V7</t>
        </is>
      </c>
      <c r="C18" s="27" t="inlineStr">
        <is>
          <t>Add All JDG</t>
        </is>
      </c>
      <c r="E18" s="27" t="inlineStr">
        <is>
          <t>Ciężarowy</t>
        </is>
      </c>
      <c r="F18" s="16" t="n">
        <v>1000</v>
      </c>
    </row>
    <row r="19">
      <c r="A19" s="27" t="n">
        <v>2</v>
      </c>
      <c r="B19" s="27" t="inlineStr">
        <is>
          <t>Peugeot Expert WPI 89341</t>
        </is>
      </c>
      <c r="C19" s="27" t="inlineStr">
        <is>
          <t>Add All JDG</t>
        </is>
      </c>
      <c r="E19" s="27" t="inlineStr">
        <is>
          <t>Ciężarowy</t>
        </is>
      </c>
      <c r="F19" s="16" t="n">
        <v>1000</v>
      </c>
    </row>
    <row r="20">
      <c r="A20" s="27" t="n">
        <v>3</v>
      </c>
      <c r="B20" s="27" t="inlineStr">
        <is>
          <t>BMW WPI4029F</t>
        </is>
      </c>
      <c r="C20" s="27" t="inlineStr">
        <is>
          <t>Add All JDG</t>
        </is>
      </c>
      <c r="E20" s="27" t="inlineStr">
        <is>
          <t>Osobowy</t>
        </is>
      </c>
      <c r="F20" s="16" t="n">
        <v>750</v>
      </c>
    </row>
    <row r="21">
      <c r="A21" s="27" t="n">
        <v>4</v>
      </c>
      <c r="B21" s="27" t="inlineStr">
        <is>
          <t>BMW WPI0679P</t>
        </is>
      </c>
      <c r="C21" s="27" t="inlineStr">
        <is>
          <t>Add All JDG</t>
        </is>
      </c>
      <c r="E21" s="27" t="inlineStr">
        <is>
          <t>Osobowy</t>
        </is>
      </c>
      <c r="F21" s="16" t="n">
        <v>1116.65</v>
      </c>
    </row>
    <row r="22">
      <c r="A22" s="27" t="n">
        <v>5</v>
      </c>
      <c r="B22" s="27" t="inlineStr">
        <is>
          <t>NISSAN JUKE</t>
        </is>
      </c>
      <c r="C22" s="27" t="inlineStr">
        <is>
          <t>Add All JDG</t>
        </is>
      </c>
      <c r="E22" s="27" t="inlineStr">
        <is>
          <t>Osobowy</t>
        </is>
      </c>
      <c r="F22" s="16" t="n">
        <v>750</v>
      </c>
    </row>
    <row r="23">
      <c r="A23" s="27" t="n">
        <v>6</v>
      </c>
      <c r="B23" s="27" t="inlineStr">
        <is>
          <t>Wózek widłowy Jungheinrich</t>
        </is>
      </c>
      <c r="C23" s="27" t="inlineStr">
        <is>
          <t>Add All JDG</t>
        </is>
      </c>
      <c r="E23" s="27" t="inlineStr">
        <is>
          <t>Wózek</t>
        </is>
      </c>
      <c r="F23" s="16" t="n">
        <v>1750</v>
      </c>
    </row>
    <row r="24">
      <c r="A24" s="27" t="n">
        <v>7</v>
      </c>
      <c r="B24" s="27" t="inlineStr">
        <is>
          <t>HARLEY DAVIDSON motocykl</t>
        </is>
      </c>
      <c r="C24" s="27" t="inlineStr">
        <is>
          <t>Add All JDG</t>
        </is>
      </c>
      <c r="E24" s="27" t="inlineStr">
        <is>
          <t>Motocykl</t>
        </is>
      </c>
      <c r="F24" s="16" t="n">
        <v>234.6</v>
      </c>
    </row>
    <row r="25">
      <c r="A25" s="27" t="n">
        <v>8</v>
      </c>
      <c r="B25" s="27" t="n"/>
      <c r="C25" s="27" t="inlineStr">
        <is>
          <t>Add All JDG</t>
        </is>
      </c>
      <c r="E25" s="27" t="n"/>
      <c r="F25" s="16" t="n"/>
    </row>
  </sheetData>
  <mergeCells count="3">
    <mergeCell ref="A2:E2"/>
    <mergeCell ref="A1:U1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N2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25"/>
  <cols>
    <col width="30" customWidth="1" min="1" max="1"/>
    <col width="16" customWidth="1" min="2" max="13"/>
    <col width="18" customWidth="1" min="14" max="14"/>
  </cols>
  <sheetData>
    <row r="1" ht="18" customHeight="1">
      <c r="A1" s="76" t="inlineStr">
        <is>
          <t>WYKONANIE BUDŻETU 2026 — DANE RZECZYWISTE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</row>
    <row r="2">
      <c r="A2" s="4" t="inlineStr">
        <is>
          <t>Uzupełniaj ten arkusz co miesiąc danymi rzeczywistymi</t>
        </is>
      </c>
    </row>
    <row r="4">
      <c r="A4" s="7" t="inlineStr">
        <is>
          <t>Kategoria</t>
        </is>
      </c>
      <c r="B4" s="7" t="inlineStr">
        <is>
          <t>Sty</t>
        </is>
      </c>
      <c r="C4" s="7" t="inlineStr">
        <is>
          <t>Lut</t>
        </is>
      </c>
      <c r="D4" s="7" t="inlineStr">
        <is>
          <t>Mar</t>
        </is>
      </c>
      <c r="E4" s="7" t="inlineStr">
        <is>
          <t>Kwi</t>
        </is>
      </c>
      <c r="F4" s="7" t="inlineStr">
        <is>
          <t>Maj</t>
        </is>
      </c>
      <c r="G4" s="7" t="inlineStr">
        <is>
          <t>Cze</t>
        </is>
      </c>
      <c r="H4" s="7" t="inlineStr">
        <is>
          <t>Lip</t>
        </is>
      </c>
      <c r="I4" s="7" t="inlineStr">
        <is>
          <t>Sie</t>
        </is>
      </c>
      <c r="J4" s="7" t="inlineStr">
        <is>
          <t>Wrz</t>
        </is>
      </c>
      <c r="K4" s="7" t="inlineStr">
        <is>
          <t>Paź</t>
        </is>
      </c>
      <c r="L4" s="7" t="inlineStr">
        <is>
          <t>Lis</t>
        </is>
      </c>
      <c r="M4" s="7" t="inlineStr">
        <is>
          <t>Gru</t>
        </is>
      </c>
      <c r="N4" s="7" t="inlineStr">
        <is>
          <t>RAZEM</t>
        </is>
      </c>
    </row>
    <row r="5">
      <c r="A5" s="48" t="inlineStr">
        <is>
          <t>PRZYCHODY RZECZYWISTE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</row>
    <row r="6">
      <c r="A6" s="27" t="inlineStr">
        <is>
          <t>Sprzedaż produktów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10">
        <f>SUM(B6:M6)</f>
        <v/>
      </c>
    </row>
    <row r="7">
      <c r="A7" s="27" t="inlineStr">
        <is>
          <t>Przychody zewnętrzne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10">
        <f>SUM(B7:M7)</f>
        <v/>
      </c>
    </row>
    <row r="8">
      <c r="A8" s="27" t="inlineStr">
        <is>
          <t>Przychody wewnętrzne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10">
        <f>SUM(B8:M8)</f>
        <v/>
      </c>
    </row>
    <row r="9">
      <c r="A9" s="49" t="inlineStr">
        <is>
          <t>PRZYCHODY OGÓŁEM (rzecz.)</t>
        </is>
      </c>
      <c r="B9" s="50">
        <f>SUM(B6:B8)</f>
        <v/>
      </c>
      <c r="C9" s="50">
        <f>SUM(C6:C8)</f>
        <v/>
      </c>
      <c r="D9" s="50">
        <f>SUM(D6:D8)</f>
        <v/>
      </c>
      <c r="E9" s="50">
        <f>SUM(E6:E8)</f>
        <v/>
      </c>
      <c r="F9" s="50">
        <f>SUM(F6:F8)</f>
        <v/>
      </c>
      <c r="G9" s="50">
        <f>SUM(G6:G8)</f>
        <v/>
      </c>
      <c r="H9" s="50">
        <f>SUM(H6:H8)</f>
        <v/>
      </c>
      <c r="I9" s="50">
        <f>SUM(I6:I8)</f>
        <v/>
      </c>
      <c r="J9" s="50">
        <f>SUM(J6:J8)</f>
        <v/>
      </c>
      <c r="K9" s="50">
        <f>SUM(K6:K8)</f>
        <v/>
      </c>
      <c r="L9" s="50">
        <f>SUM(L6:L8)</f>
        <v/>
      </c>
      <c r="M9" s="50">
        <f>SUM(M6:M8)</f>
        <v/>
      </c>
      <c r="N9" s="50">
        <f>SUM(B9:M9)</f>
        <v/>
      </c>
    </row>
    <row r="11">
      <c r="A11" s="17" t="inlineStr">
        <is>
          <t>KOSZTY RZECZYWISTE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27" t="inlineStr">
        <is>
          <t>Zakupy towarów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10">
        <f>SUM(B12:M12)</f>
        <v/>
      </c>
    </row>
    <row r="13">
      <c r="A13" s="27" t="inlineStr">
        <is>
          <t>Prowizje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10">
        <f>SUM(B13:M13)</f>
        <v/>
      </c>
    </row>
    <row r="14">
      <c r="A14" s="27" t="inlineStr">
        <is>
          <t>Wynagrodzenia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10">
        <f>SUM(B14:M14)</f>
        <v/>
      </c>
    </row>
    <row r="15">
      <c r="A15" s="27" t="inlineStr">
        <is>
          <t>Koszty operacyjne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10">
        <f>SUM(B15:M15)</f>
        <v/>
      </c>
    </row>
    <row r="16">
      <c r="A16" s="27" t="inlineStr">
        <is>
          <t>Samochody / Amortyzacja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10">
        <f>SUM(B16:M16)</f>
        <v/>
      </c>
    </row>
    <row r="17">
      <c r="A17" s="51" t="inlineStr">
        <is>
          <t>KOSZTY OGÓŁEM (rzecz.)</t>
        </is>
      </c>
      <c r="B17" s="52">
        <f>SUM(B12:B16)</f>
        <v/>
      </c>
      <c r="C17" s="52">
        <f>SUM(C12:C16)</f>
        <v/>
      </c>
      <c r="D17" s="52">
        <f>SUM(D12:D16)</f>
        <v/>
      </c>
      <c r="E17" s="52">
        <f>SUM(E12:E16)</f>
        <v/>
      </c>
      <c r="F17" s="52">
        <f>SUM(F12:F16)</f>
        <v/>
      </c>
      <c r="G17" s="52">
        <f>SUM(G12:G16)</f>
        <v/>
      </c>
      <c r="H17" s="52">
        <f>SUM(H12:H16)</f>
        <v/>
      </c>
      <c r="I17" s="52">
        <f>SUM(I12:I16)</f>
        <v/>
      </c>
      <c r="J17" s="52">
        <f>SUM(J12:J16)</f>
        <v/>
      </c>
      <c r="K17" s="52">
        <f>SUM(K12:K16)</f>
        <v/>
      </c>
      <c r="L17" s="52">
        <f>SUM(L12:L16)</f>
        <v/>
      </c>
      <c r="M17" s="52">
        <f>SUM(M12:M16)</f>
        <v/>
      </c>
      <c r="N17" s="52">
        <f>SUM(B17:M17)</f>
        <v/>
      </c>
    </row>
    <row r="19">
      <c r="A19" s="20" t="inlineStr">
        <is>
          <t>WYNIK RZECZYWISTY</t>
        </is>
      </c>
      <c r="B19" s="21">
        <f>B9-B17</f>
        <v/>
      </c>
      <c r="C19" s="21">
        <f>C9-C17</f>
        <v/>
      </c>
      <c r="D19" s="21">
        <f>D9-D17</f>
        <v/>
      </c>
      <c r="E19" s="21">
        <f>E9-E17</f>
        <v/>
      </c>
      <c r="F19" s="21">
        <f>F9-F17</f>
        <v/>
      </c>
      <c r="G19" s="21">
        <f>G9-G17</f>
        <v/>
      </c>
      <c r="H19" s="21">
        <f>H9-H17</f>
        <v/>
      </c>
      <c r="I19" s="21">
        <f>I9-I17</f>
        <v/>
      </c>
      <c r="J19" s="21">
        <f>J9-J17</f>
        <v/>
      </c>
      <c r="K19" s="21">
        <f>K9-K17</f>
        <v/>
      </c>
      <c r="L19" s="21">
        <f>L9-L17</f>
        <v/>
      </c>
      <c r="M19" s="21">
        <f>M9-M17</f>
        <v/>
      </c>
      <c r="N19" s="21">
        <f>SUM(B19:M19)</f>
        <v/>
      </c>
    </row>
    <row r="21" ht="15.75" customHeight="1">
      <c r="A21" s="75" t="inlineStr">
        <is>
          <t>ODCHYLENIA: PLAN vs WYKONANIE</t>
        </is>
      </c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20" t="n"/>
    </row>
    <row r="22">
      <c r="A22" s="7" t="inlineStr">
        <is>
          <t>Kategoria</t>
        </is>
      </c>
      <c r="B22" s="7" t="inlineStr">
        <is>
          <t>Sty</t>
        </is>
      </c>
      <c r="C22" s="7" t="inlineStr">
        <is>
          <t>Lut</t>
        </is>
      </c>
      <c r="D22" s="7" t="inlineStr">
        <is>
          <t>Mar</t>
        </is>
      </c>
      <c r="E22" s="7" t="inlineStr">
        <is>
          <t>Kwi</t>
        </is>
      </c>
      <c r="F22" s="7" t="inlineStr">
        <is>
          <t>Maj</t>
        </is>
      </c>
      <c r="G22" s="7" t="inlineStr">
        <is>
          <t>Cze</t>
        </is>
      </c>
      <c r="H22" s="7" t="inlineStr">
        <is>
          <t>Lip</t>
        </is>
      </c>
      <c r="I22" s="7" t="inlineStr">
        <is>
          <t>Sie</t>
        </is>
      </c>
      <c r="J22" s="7" t="inlineStr">
        <is>
          <t>Wrz</t>
        </is>
      </c>
      <c r="K22" s="7" t="inlineStr">
        <is>
          <t>Paź</t>
        </is>
      </c>
      <c r="L22" s="7" t="inlineStr">
        <is>
          <t>Lis</t>
        </is>
      </c>
      <c r="M22" s="7" t="inlineStr">
        <is>
          <t>Gru</t>
        </is>
      </c>
      <c r="N22" s="7" t="inlineStr">
        <is>
          <t>RAZEM</t>
        </is>
      </c>
    </row>
    <row r="23">
      <c r="A23" s="22" t="inlineStr">
        <is>
          <t>Odchylenie przychodów</t>
        </is>
      </c>
      <c r="B23" s="23">
        <f>B9-'PROGNOZA 2026'!B9</f>
        <v/>
      </c>
      <c r="C23" s="23">
        <f>C9-'PROGNOZA 2026'!C9</f>
        <v/>
      </c>
      <c r="D23" s="23">
        <f>D9-'PROGNOZA 2026'!D9</f>
        <v/>
      </c>
      <c r="E23" s="23">
        <f>E9-'PROGNOZA 2026'!E9</f>
        <v/>
      </c>
      <c r="F23" s="23">
        <f>F9-'PROGNOZA 2026'!F9</f>
        <v/>
      </c>
      <c r="G23" s="23">
        <f>G9-'PROGNOZA 2026'!G9</f>
        <v/>
      </c>
      <c r="H23" s="23">
        <f>H9-'PROGNOZA 2026'!H9</f>
        <v/>
      </c>
      <c r="I23" s="23">
        <f>I9-'PROGNOZA 2026'!I9</f>
        <v/>
      </c>
      <c r="J23" s="23">
        <f>J9-'PROGNOZA 2026'!J9</f>
        <v/>
      </c>
      <c r="K23" s="23">
        <f>K9-'PROGNOZA 2026'!K9</f>
        <v/>
      </c>
      <c r="L23" s="23">
        <f>L9-'PROGNOZA 2026'!L9</f>
        <v/>
      </c>
      <c r="M23" s="23">
        <f>M9-'PROGNOZA 2026'!M9</f>
        <v/>
      </c>
      <c r="N23" s="23">
        <f>N9-'PROGNOZA 2026'!N9</f>
        <v/>
      </c>
    </row>
    <row r="24">
      <c r="A24" s="22" t="inlineStr">
        <is>
          <t>Odchylenie kosztów</t>
        </is>
      </c>
      <c r="B24" s="23">
        <f>B17-'PROGNOZA 2026'!B18</f>
        <v/>
      </c>
      <c r="C24" s="23">
        <f>C17-'PROGNOZA 2026'!C18</f>
        <v/>
      </c>
      <c r="D24" s="23">
        <f>D17-'PROGNOZA 2026'!D18</f>
        <v/>
      </c>
      <c r="E24" s="23">
        <f>E17-'PROGNOZA 2026'!E18</f>
        <v/>
      </c>
      <c r="F24" s="23">
        <f>F17-'PROGNOZA 2026'!F18</f>
        <v/>
      </c>
      <c r="G24" s="23">
        <f>G17-'PROGNOZA 2026'!G18</f>
        <v/>
      </c>
      <c r="H24" s="23">
        <f>H17-'PROGNOZA 2026'!H18</f>
        <v/>
      </c>
      <c r="I24" s="23">
        <f>I17-'PROGNOZA 2026'!I18</f>
        <v/>
      </c>
      <c r="J24" s="23">
        <f>J17-'PROGNOZA 2026'!J18</f>
        <v/>
      </c>
      <c r="K24" s="23">
        <f>K17-'PROGNOZA 2026'!K18</f>
        <v/>
      </c>
      <c r="L24" s="23">
        <f>L17-'PROGNOZA 2026'!L18</f>
        <v/>
      </c>
      <c r="M24" s="23">
        <f>M17-'PROGNOZA 2026'!M18</f>
        <v/>
      </c>
      <c r="N24" s="23">
        <f>N17-'PROGNOZA 2026'!N18</f>
        <v/>
      </c>
    </row>
    <row r="25">
      <c r="A25" s="22" t="inlineStr">
        <is>
          <t>Odchylenie wyniku</t>
        </is>
      </c>
      <c r="B25" s="23">
        <f>B19-'PROGNOZA 2026'!B20</f>
        <v/>
      </c>
      <c r="C25" s="23">
        <f>C19-'PROGNOZA 2026'!C20</f>
        <v/>
      </c>
      <c r="D25" s="23">
        <f>D19-'PROGNOZA 2026'!D20</f>
        <v/>
      </c>
      <c r="E25" s="23">
        <f>E19-'PROGNOZA 2026'!E20</f>
        <v/>
      </c>
      <c r="F25" s="23">
        <f>F19-'PROGNOZA 2026'!F20</f>
        <v/>
      </c>
      <c r="G25" s="23">
        <f>G19-'PROGNOZA 2026'!G20</f>
        <v/>
      </c>
      <c r="H25" s="23">
        <f>H19-'PROGNOZA 2026'!H20</f>
        <v/>
      </c>
      <c r="I25" s="23">
        <f>I19-'PROGNOZA 2026'!I20</f>
        <v/>
      </c>
      <c r="J25" s="23">
        <f>J19-'PROGNOZA 2026'!J20</f>
        <v/>
      </c>
      <c r="K25" s="23">
        <f>K19-'PROGNOZA 2026'!K20</f>
        <v/>
      </c>
      <c r="L25" s="23">
        <f>L19-'PROGNOZA 2026'!L20</f>
        <v/>
      </c>
      <c r="M25" s="23">
        <f>M19-'PROGNOZA 2026'!M20</f>
        <v/>
      </c>
      <c r="N25" s="23">
        <f>N19-'PROGNOZA 2026'!N20</f>
        <v/>
      </c>
    </row>
  </sheetData>
  <mergeCells count="2">
    <mergeCell ref="A21:N2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N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25"/>
  <cols>
    <col width="30" customWidth="1" min="1" max="1"/>
    <col width="16" customWidth="1" min="2" max="13"/>
    <col width="18" customWidth="1" min="14" max="14"/>
  </cols>
  <sheetData>
    <row r="1" ht="18" customHeight="1">
      <c r="A1" s="78" t="inlineStr">
        <is>
          <t>PRZEPŁYWY PIENIĘŻNE 2026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</row>
    <row r="3">
      <c r="A3" s="7" t="inlineStr">
        <is>
          <t>Pozycja</t>
        </is>
      </c>
      <c r="B3" s="7" t="inlineStr">
        <is>
          <t>Sty</t>
        </is>
      </c>
      <c r="C3" s="7" t="inlineStr">
        <is>
          <t>Lut</t>
        </is>
      </c>
      <c r="D3" s="7" t="inlineStr">
        <is>
          <t>Mar</t>
        </is>
      </c>
      <c r="E3" s="7" t="inlineStr">
        <is>
          <t>Kwi</t>
        </is>
      </c>
      <c r="F3" s="7" t="inlineStr">
        <is>
          <t>Maj</t>
        </is>
      </c>
      <c r="G3" s="7" t="inlineStr">
        <is>
          <t>Cze</t>
        </is>
      </c>
      <c r="H3" s="7" t="inlineStr">
        <is>
          <t>Lip</t>
        </is>
      </c>
      <c r="I3" s="7" t="inlineStr">
        <is>
          <t>Sie</t>
        </is>
      </c>
      <c r="J3" s="7" t="inlineStr">
        <is>
          <t>Wrz</t>
        </is>
      </c>
      <c r="K3" s="7" t="inlineStr">
        <is>
          <t>Paź</t>
        </is>
      </c>
      <c r="L3" s="7" t="inlineStr">
        <is>
          <t>Lis</t>
        </is>
      </c>
      <c r="M3" s="7" t="inlineStr">
        <is>
          <t>Gru</t>
        </is>
      </c>
      <c r="N3" s="7" t="inlineStr">
        <is>
          <t>RAZEM</t>
        </is>
      </c>
    </row>
    <row r="4">
      <c r="A4" s="48" t="inlineStr">
        <is>
          <t>WPŁYWY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>
      <c r="A5" s="27" t="inlineStr">
        <is>
          <t>Wpływy ze sprzedaży (gotówka)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23">
        <f>SUM(B5:M5)</f>
        <v/>
      </c>
    </row>
    <row r="6">
      <c r="A6" s="27" t="inlineStr">
        <is>
          <t>Wpływy ze sprzedaży (przelewy)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23">
        <f>SUM(B6:M6)</f>
        <v/>
      </c>
    </row>
    <row r="7">
      <c r="A7" s="27" t="inlineStr">
        <is>
          <t>Inne wpływy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23">
        <f>SUM(B7:M7)</f>
        <v/>
      </c>
    </row>
    <row r="8">
      <c r="A8" s="27" t="inlineStr">
        <is>
          <t>Otrzymane pożyczki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23">
        <f>SUM(B8:M8)</f>
        <v/>
      </c>
    </row>
    <row r="9">
      <c r="A9" s="49" t="inlineStr">
        <is>
          <t>WPŁYWY RAZEM</t>
        </is>
      </c>
      <c r="B9" s="50">
        <f>SUM(B5:B8)</f>
        <v/>
      </c>
      <c r="C9" s="50">
        <f>SUM(C5:C8)</f>
        <v/>
      </c>
      <c r="D9" s="50">
        <f>SUM(D5:D8)</f>
        <v/>
      </c>
      <c r="E9" s="50">
        <f>SUM(E5:E8)</f>
        <v/>
      </c>
      <c r="F9" s="50">
        <f>SUM(F5:F8)</f>
        <v/>
      </c>
      <c r="G9" s="50">
        <f>SUM(G5:G8)</f>
        <v/>
      </c>
      <c r="H9" s="50">
        <f>SUM(H5:H8)</f>
        <v/>
      </c>
      <c r="I9" s="50">
        <f>SUM(I5:I8)</f>
        <v/>
      </c>
      <c r="J9" s="50">
        <f>SUM(J5:J8)</f>
        <v/>
      </c>
      <c r="K9" s="50">
        <f>SUM(K5:K8)</f>
        <v/>
      </c>
      <c r="L9" s="50">
        <f>SUM(L5:L8)</f>
        <v/>
      </c>
      <c r="M9" s="50">
        <f>SUM(M5:M8)</f>
        <v/>
      </c>
      <c r="N9" s="50">
        <f>SUM(N5:N8)</f>
        <v/>
      </c>
    </row>
    <row r="11">
      <c r="A11" s="17" t="inlineStr">
        <is>
          <t>WYDATKI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27" t="inlineStr">
        <is>
          <t>Zakupy towarów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23">
        <f>SUM(B12:M12)</f>
        <v/>
      </c>
    </row>
    <row r="13">
      <c r="A13" s="27" t="inlineStr">
        <is>
          <t>Wynagrodzenia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23">
        <f>SUM(B13:M13)</f>
        <v/>
      </c>
    </row>
    <row r="14">
      <c r="A14" s="27" t="inlineStr">
        <is>
          <t>ZUS/podatki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23">
        <f>SUM(B14:M14)</f>
        <v/>
      </c>
    </row>
    <row r="15">
      <c r="A15" s="27" t="inlineStr">
        <is>
          <t>Koszty operacyjne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23">
        <f>SUM(B15:M15)</f>
        <v/>
      </c>
    </row>
    <row r="16">
      <c r="A16" s="27" t="inlineStr">
        <is>
          <t>Leasing/raty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23">
        <f>SUM(B16:M16)</f>
        <v/>
      </c>
    </row>
    <row r="17">
      <c r="A17" s="27" t="inlineStr">
        <is>
          <t>Paliwo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23">
        <f>SUM(B17:M17)</f>
        <v/>
      </c>
    </row>
    <row r="18">
      <c r="A18" s="27" t="inlineStr">
        <is>
          <t>Spłata pożyczek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23">
        <f>SUM(B18:M18)</f>
        <v/>
      </c>
    </row>
    <row r="19">
      <c r="A19" s="27" t="inlineStr">
        <is>
          <t>Inne wydatki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23">
        <f>SUM(B19:M19)</f>
        <v/>
      </c>
    </row>
    <row r="20">
      <c r="A20" s="51" t="inlineStr">
        <is>
          <t>WYDATKI RAZEM</t>
        </is>
      </c>
      <c r="B20" s="52">
        <f>SUM(B12:B19)</f>
        <v/>
      </c>
      <c r="C20" s="52">
        <f>SUM(C12:C19)</f>
        <v/>
      </c>
      <c r="D20" s="52">
        <f>SUM(D12:D19)</f>
        <v/>
      </c>
      <c r="E20" s="52">
        <f>SUM(E12:E19)</f>
        <v/>
      </c>
      <c r="F20" s="52">
        <f>SUM(F12:F19)</f>
        <v/>
      </c>
      <c r="G20" s="52">
        <f>SUM(G12:G19)</f>
        <v/>
      </c>
      <c r="H20" s="52">
        <f>SUM(H12:H19)</f>
        <v/>
      </c>
      <c r="I20" s="52">
        <f>SUM(I12:I19)</f>
        <v/>
      </c>
      <c r="J20" s="52">
        <f>SUM(J12:J19)</f>
        <v/>
      </c>
      <c r="K20" s="52">
        <f>SUM(K12:K19)</f>
        <v/>
      </c>
      <c r="L20" s="52">
        <f>SUM(L12:L19)</f>
        <v/>
      </c>
      <c r="M20" s="52">
        <f>SUM(M12:M19)</f>
        <v/>
      </c>
      <c r="N20" s="52">
        <f>SUM(N12:N19)</f>
        <v/>
      </c>
    </row>
    <row r="22">
      <c r="A22" s="20" t="inlineStr">
        <is>
          <t>SALDO MIESIĘCZNE</t>
        </is>
      </c>
      <c r="B22" s="21">
        <f>B9-B20</f>
        <v/>
      </c>
      <c r="C22" s="21">
        <f>C9-C20</f>
        <v/>
      </c>
      <c r="D22" s="21">
        <f>D9-D20</f>
        <v/>
      </c>
      <c r="E22" s="21">
        <f>E9-E20</f>
        <v/>
      </c>
      <c r="F22" s="21">
        <f>F9-F20</f>
        <v/>
      </c>
      <c r="G22" s="21">
        <f>G9-G20</f>
        <v/>
      </c>
      <c r="H22" s="21">
        <f>H9-H20</f>
        <v/>
      </c>
      <c r="I22" s="21">
        <f>I9-I20</f>
        <v/>
      </c>
      <c r="J22" s="21">
        <f>J9-J20</f>
        <v/>
      </c>
      <c r="K22" s="21">
        <f>K9-K20</f>
        <v/>
      </c>
      <c r="L22" s="21">
        <f>L9-L20</f>
        <v/>
      </c>
      <c r="M22" s="21">
        <f>M9-M20</f>
        <v/>
      </c>
      <c r="N22" s="21">
        <f>N9-N20</f>
        <v/>
      </c>
    </row>
    <row r="23">
      <c r="A23" s="22" t="inlineStr">
        <is>
          <t>STAN GOTÓWKI (początek)</t>
        </is>
      </c>
      <c r="B23" s="9" t="n">
        <v>0</v>
      </c>
      <c r="C23" s="23">
        <f>B24</f>
        <v/>
      </c>
      <c r="D23" s="23">
        <f>C24</f>
        <v/>
      </c>
      <c r="E23" s="23">
        <f>D24</f>
        <v/>
      </c>
      <c r="F23" s="23">
        <f>E24</f>
        <v/>
      </c>
      <c r="G23" s="23">
        <f>F24</f>
        <v/>
      </c>
      <c r="H23" s="23">
        <f>G24</f>
        <v/>
      </c>
      <c r="I23" s="23">
        <f>H24</f>
        <v/>
      </c>
      <c r="J23" s="23">
        <f>I24</f>
        <v/>
      </c>
      <c r="K23" s="23">
        <f>J24</f>
        <v/>
      </c>
      <c r="L23" s="23">
        <f>K24</f>
        <v/>
      </c>
      <c r="M23" s="23">
        <f>L24</f>
        <v/>
      </c>
    </row>
    <row r="24">
      <c r="A24" s="53" t="inlineStr">
        <is>
          <t>STAN GOTÓWKI (koniec)</t>
        </is>
      </c>
      <c r="B24" s="54">
        <f>B23+B22</f>
        <v/>
      </c>
      <c r="C24" s="54">
        <f>C23+C22</f>
        <v/>
      </c>
      <c r="D24" s="54">
        <f>D23+D22</f>
        <v/>
      </c>
      <c r="E24" s="54">
        <f>E23+E22</f>
        <v/>
      </c>
      <c r="F24" s="54">
        <f>F23+F22</f>
        <v/>
      </c>
      <c r="G24" s="54">
        <f>G23+G22</f>
        <v/>
      </c>
      <c r="H24" s="54">
        <f>H23+H22</f>
        <v/>
      </c>
      <c r="I24" s="54">
        <f>I23+I22</f>
        <v/>
      </c>
      <c r="J24" s="54">
        <f>J23+J22</f>
        <v/>
      </c>
      <c r="K24" s="54">
        <f>K23+K22</f>
        <v/>
      </c>
      <c r="L24" s="54">
        <f>L23+L22</f>
        <v/>
      </c>
      <c r="M24" s="54">
        <f>M23+M22</f>
        <v/>
      </c>
      <c r="N24" s="53" t="n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BF8F00"/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RowHeight="14.25"/>
  <cols>
    <col width="5" customWidth="1" min="1" max="1"/>
    <col width="35" customWidth="1" min="2" max="2"/>
    <col width="16" customWidth="1" min="3" max="3"/>
    <col width="20" customWidth="1" min="4" max="4"/>
    <col width="14" customWidth="1" min="5" max="5"/>
  </cols>
  <sheetData>
    <row r="1" ht="18" customHeight="1">
      <c r="A1" s="80" t="inlineStr">
        <is>
          <t>FAKTURY OD JDG — UMOWY</t>
        </is>
      </c>
      <c r="B1" s="119" t="n"/>
      <c r="C1" s="119" t="n"/>
      <c r="D1" s="119" t="n"/>
      <c r="E1" s="120" t="n"/>
    </row>
    <row r="3">
      <c r="A3" s="7" t="inlineStr">
        <is>
          <t>Lp.</t>
        </is>
      </c>
      <c r="B3" s="7" t="inlineStr">
        <is>
          <t>Umowa</t>
        </is>
      </c>
      <c r="C3" s="7" t="inlineStr">
        <is>
          <t>Koszt netto</t>
        </is>
      </c>
      <c r="D3" s="7" t="inlineStr">
        <is>
          <t>Kategoria</t>
        </is>
      </c>
      <c r="E3" s="7" t="inlineStr">
        <is>
          <t>Płatność</t>
        </is>
      </c>
    </row>
    <row r="4">
      <c r="A4" s="27" t="n">
        <v>1</v>
      </c>
      <c r="B4" s="27" t="inlineStr">
        <is>
          <t>Umowa menadżerska - A. Rękawek</t>
        </is>
      </c>
      <c r="C4" s="28" t="n">
        <v>11850</v>
      </c>
      <c r="D4" s="27" t="inlineStr">
        <is>
          <t>Wynagrodzenia</t>
        </is>
      </c>
      <c r="E4" s="27" t="inlineStr">
        <is>
          <t>Przelew</t>
        </is>
      </c>
    </row>
    <row r="5">
      <c r="A5" s="27" t="n">
        <v>2</v>
      </c>
      <c r="B5" s="27" t="inlineStr">
        <is>
          <t>Umowa dysponowania pracownikami</t>
        </is>
      </c>
      <c r="C5" s="28" t="n">
        <v>22674.54</v>
      </c>
      <c r="D5" s="27" t="inlineStr">
        <is>
          <t>Wynagrodzenia</t>
        </is>
      </c>
      <c r="E5" s="27" t="inlineStr">
        <is>
          <t>Przelew</t>
        </is>
      </c>
    </row>
    <row r="6">
      <c r="A6" s="27" t="n">
        <v>3</v>
      </c>
      <c r="B6" s="27" t="inlineStr">
        <is>
          <t>Umowa zarządzania operacyjnego</t>
        </is>
      </c>
      <c r="C6" s="28" t="n">
        <v>5000</v>
      </c>
      <c r="D6" s="27" t="inlineStr">
        <is>
          <t>Operacyjny</t>
        </is>
      </c>
      <c r="E6" s="27" t="inlineStr">
        <is>
          <t>Gotówka</t>
        </is>
      </c>
    </row>
    <row r="7">
      <c r="A7" s="27" t="n">
        <v>4</v>
      </c>
      <c r="B7" s="27" t="inlineStr">
        <is>
          <t>Umowa dzierżawy</t>
        </is>
      </c>
      <c r="C7" s="28" t="n">
        <v>3900</v>
      </c>
      <c r="D7" s="27" t="inlineStr">
        <is>
          <t>Samochody</t>
        </is>
      </c>
      <c r="E7" s="27" t="inlineStr">
        <is>
          <t>Gotówka</t>
        </is>
      </c>
    </row>
    <row r="8">
      <c r="B8" s="22" t="inlineStr">
        <is>
          <t>RAZEM</t>
        </is>
      </c>
      <c r="C8" s="55">
        <f>SUM(C4:C7)</f>
        <v/>
      </c>
    </row>
    <row r="9">
      <c r="A9" s="56" t="n"/>
      <c r="B9" s="56" t="n"/>
      <c r="C9" s="56" t="n"/>
      <c r="D9" s="56" t="n"/>
      <c r="E9" s="56" t="n"/>
    </row>
    <row r="10">
      <c r="A10" s="56" t="n"/>
      <c r="B10" s="56" t="n"/>
      <c r="C10" s="56" t="n"/>
      <c r="D10" s="56" t="n"/>
      <c r="E10" s="56" t="n"/>
    </row>
    <row r="11">
      <c r="A11" s="56" t="n"/>
      <c r="B11" s="56" t="n"/>
      <c r="C11" s="56" t="n"/>
      <c r="D11" s="56" t="n"/>
      <c r="E11" s="56" t="n"/>
    </row>
    <row r="12">
      <c r="A12" s="56" t="n"/>
      <c r="B12" s="56" t="n"/>
      <c r="C12" s="56" t="n"/>
      <c r="D12" s="56" t="n"/>
      <c r="E12" s="56" t="n"/>
    </row>
    <row r="13">
      <c r="A13" s="56" t="n"/>
      <c r="B13" s="56" t="n"/>
      <c r="C13" s="56" t="n"/>
      <c r="D13" s="56" t="n"/>
      <c r="E13" s="56" t="n"/>
    </row>
    <row r="14">
      <c r="A14" s="56" t="n"/>
      <c r="B14" s="56" t="n"/>
      <c r="C14" s="56" t="n"/>
      <c r="D14" s="56" t="n"/>
      <c r="E14" s="56" t="n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C29"/>
  <sheetViews>
    <sheetView workbookViewId="0">
      <selection activeCell="A1" sqref="A1:C1"/>
    </sheetView>
  </sheetViews>
  <sheetFormatPr baseColWidth="8" defaultRowHeight="14.25"/>
  <cols>
    <col width="20" customWidth="1" min="1" max="1"/>
    <col width="60" customWidth="1" min="2" max="2"/>
    <col width="20" customWidth="1" min="3" max="3"/>
  </cols>
  <sheetData>
    <row r="1" ht="18" customHeight="1">
      <c r="A1" s="82" t="inlineStr">
        <is>
          <t>NOTATKI I ZAŁOŻENIA BUDŻETOWE</t>
        </is>
      </c>
      <c r="B1" s="119" t="n"/>
      <c r="C1" s="120" t="n"/>
    </row>
    <row r="3">
      <c r="A3" s="7" t="inlineStr">
        <is>
          <t>Data</t>
        </is>
      </c>
      <c r="B3" s="7" t="inlineStr">
        <is>
          <t>Notatka / Założenie</t>
        </is>
      </c>
      <c r="C3" s="7" t="inlineStr">
        <is>
          <t>Autor</t>
        </is>
      </c>
    </row>
    <row r="4">
      <c r="A4" s="27" t="inlineStr">
        <is>
          <t>2026-02-08</t>
        </is>
      </c>
      <c r="B4" s="8" t="inlineStr">
        <is>
          <t>Budżet przygotowany na podstawie danych z 2025 roku (przymiarki)</t>
        </is>
      </c>
      <c r="C4" s="27" t="inlineStr">
        <is>
          <t>System</t>
        </is>
      </c>
    </row>
    <row r="5">
      <c r="A5" s="27" t="inlineStr">
        <is>
          <t>2026-02-08</t>
        </is>
      </c>
      <c r="B5" s="8" t="inlineStr">
        <is>
          <t>Marża sprzedaży założona na poziomie 35,4%</t>
        </is>
      </c>
      <c r="C5" s="27" t="inlineStr">
        <is>
          <t>System</t>
        </is>
      </c>
    </row>
    <row r="6">
      <c r="A6" s="27" t="inlineStr">
        <is>
          <t>2026-02-08</t>
        </is>
      </c>
      <c r="B6" s="8" t="inlineStr">
        <is>
          <t>Dane wynagrodzeń bazują na aktualnej liście pracowników</t>
        </is>
      </c>
      <c r="C6" s="27" t="inlineStr">
        <is>
          <t>System</t>
        </is>
      </c>
    </row>
    <row r="7" ht="28.5" customHeight="1">
      <c r="A7" s="27" t="inlineStr">
        <is>
          <t>2026-02-08</t>
        </is>
      </c>
      <c r="B7" s="8" t="inlineStr">
        <is>
          <t>Komórki żółte (WYKONANIE) do uzupełniania co miesiąc danymi rzeczywistymi</t>
        </is>
      </c>
      <c r="C7" s="27" t="inlineStr">
        <is>
          <t>System</t>
        </is>
      </c>
    </row>
    <row r="8">
      <c r="A8" s="27" t="inlineStr">
        <is>
          <t>2026-02-08</t>
        </is>
      </c>
      <c r="B8" s="8" t="inlineStr">
        <is>
          <t>Komórki jasno-zielone (TAK) = koszt aktywny w danym miesiącu</t>
        </is>
      </c>
      <c r="C8" s="27" t="inlineStr">
        <is>
          <t>System</t>
        </is>
      </c>
    </row>
    <row r="9">
      <c r="A9" s="27" t="inlineStr">
        <is>
          <t>2026-02-08</t>
        </is>
      </c>
      <c r="B9" s="8" t="inlineStr">
        <is>
          <t>Komórki jasno-czerwone (NIE) = koszt nieaktywny</t>
        </is>
      </c>
      <c r="C9" s="27" t="inlineStr">
        <is>
          <t>System</t>
        </is>
      </c>
    </row>
    <row r="10">
      <c r="A10" s="56" t="n"/>
      <c r="B10" s="56" t="n"/>
      <c r="C10" s="56" t="n"/>
    </row>
    <row r="11">
      <c r="A11" s="56" t="n"/>
      <c r="B11" s="56" t="n"/>
      <c r="C11" s="56" t="n"/>
    </row>
    <row r="12">
      <c r="A12" s="56" t="n"/>
      <c r="B12" s="56" t="n"/>
      <c r="C12" s="56" t="n"/>
    </row>
    <row r="13">
      <c r="A13" s="56" t="n"/>
      <c r="B13" s="56" t="n"/>
      <c r="C13" s="56" t="n"/>
    </row>
    <row r="14">
      <c r="A14" s="56" t="n"/>
      <c r="B14" s="56" t="n"/>
      <c r="C14" s="56" t="n"/>
    </row>
    <row r="15">
      <c r="A15" s="56" t="n"/>
      <c r="B15" s="56" t="n"/>
      <c r="C15" s="56" t="n"/>
    </row>
    <row r="16">
      <c r="A16" s="56" t="n"/>
      <c r="B16" s="56" t="n"/>
      <c r="C16" s="56" t="n"/>
    </row>
    <row r="17">
      <c r="A17" s="56" t="n"/>
      <c r="B17" s="56" t="n"/>
      <c r="C17" s="56" t="n"/>
    </row>
    <row r="18">
      <c r="A18" s="56" t="n"/>
      <c r="B18" s="56" t="n"/>
      <c r="C18" s="56" t="n"/>
    </row>
    <row r="19">
      <c r="A19" s="56" t="n"/>
      <c r="B19" s="56" t="n"/>
      <c r="C19" s="56" t="n"/>
    </row>
    <row r="20">
      <c r="A20" s="56" t="n"/>
      <c r="B20" s="56" t="n"/>
      <c r="C20" s="56" t="n"/>
    </row>
    <row r="21">
      <c r="A21" s="56" t="n"/>
      <c r="B21" s="56" t="n"/>
      <c r="C21" s="56" t="n"/>
    </row>
    <row r="22">
      <c r="A22" s="56" t="n"/>
      <c r="B22" s="56" t="n"/>
      <c r="C22" s="56" t="n"/>
    </row>
    <row r="23">
      <c r="A23" s="56" t="n"/>
      <c r="B23" s="56" t="n"/>
      <c r="C23" s="56" t="n"/>
    </row>
    <row r="24">
      <c r="A24" s="56" t="n"/>
      <c r="B24" s="56" t="n"/>
      <c r="C24" s="56" t="n"/>
    </row>
    <row r="25">
      <c r="A25" s="56" t="n"/>
      <c r="B25" s="56" t="n"/>
      <c r="C25" s="56" t="n"/>
    </row>
    <row r="26">
      <c r="A26" s="56" t="n"/>
      <c r="B26" s="56" t="n"/>
      <c r="C26" s="56" t="n"/>
    </row>
    <row r="27">
      <c r="A27" s="56" t="n"/>
      <c r="B27" s="56" t="n"/>
      <c r="C27" s="56" t="n"/>
    </row>
    <row r="28">
      <c r="A28" s="56" t="n"/>
      <c r="B28" s="56" t="n"/>
      <c r="C28" s="56" t="n"/>
    </row>
    <row r="29">
      <c r="A29" s="56" t="n"/>
      <c r="B29" s="56" t="n"/>
      <c r="C29" s="56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2026-02-08T12:42:31Z</dcterms:created>
  <dcterms:modified xsi:type="dcterms:W3CDTF">2026-02-08T12:56:06Z</dcterms:modified>
  <cp:lastModifiedBy>Adam Rękawek</cp:lastModifiedBy>
</cp:coreProperties>
</file>