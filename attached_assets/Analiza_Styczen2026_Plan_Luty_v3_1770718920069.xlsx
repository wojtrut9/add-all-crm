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 STY 2026" sheetId="1" state="visible" r:id="rId1"/>
    <sheet name="GOSIA PREMIUM" sheetId="2" state="visible" r:id="rId2"/>
    <sheet name="MAGDA PREMIUM" sheetId="3" state="visible" r:id="rId3"/>
    <sheet name="MAGDA STANDARD" sheetId="4" state="visible" r:id="rId4"/>
    <sheet name="WERYFIKACJA ZOSTANA" sheetId="5" state="visible" r:id="rId5"/>
    <sheet name="WERYFIKACJA ODEJDA" sheetId="6" state="visible" r:id="rId6"/>
    <sheet name="INNE" sheetId="7" state="visible" r:id="rId7"/>
    <sheet name="PLAN LUTY 2026" sheetId="8" state="visible" r:id="rId8"/>
    <sheet name="TRENDY MIESIĘCZ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  <sz val="11"/>
    </font>
    <font>
      <b val="1"/>
      <color rgb="00FFFFFF"/>
      <sz val="11"/>
    </font>
    <font>
      <b val="1"/>
      <sz val="11"/>
    </font>
    <font>
      <b val="1"/>
      <color rgb="001F4E79"/>
      <sz val="12"/>
    </font>
    <font>
      <b val="1"/>
      <color rgb="001F4E79"/>
      <sz val="14"/>
    </font>
    <font>
      <i val="1"/>
      <color rgb="00808080"/>
      <sz val="10"/>
    </font>
    <font>
      <b val="1"/>
    </font>
    <font>
      <b val="1"/>
      <color rgb="002E75B6"/>
      <sz val="14"/>
    </font>
    <font>
      <b val="1"/>
      <color rgb="004472C4"/>
      <sz val="14"/>
    </font>
    <font>
      <b val="1"/>
      <color rgb="00808080"/>
      <sz val="14"/>
    </font>
    <font>
      <b val="1"/>
      <color rgb="00A5A5A5"/>
      <sz val="14"/>
    </font>
    <font>
      <b val="1"/>
      <color rgb="007B7B7B"/>
      <sz val="14"/>
    </font>
    <font>
      <b val="1"/>
      <color rgb="00C00000"/>
      <sz val="16"/>
    </font>
    <font>
      <b val="1"/>
      <color rgb="00FFFFFF"/>
      <sz val="13"/>
    </font>
    <font>
      <b val="1"/>
      <color rgb="00548235"/>
      <sz val="14"/>
    </font>
  </fonts>
  <fills count="20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D6DCE4"/>
        <bgColor rgb="00D6DCE4"/>
      </patternFill>
    </fill>
    <fill>
      <patternFill patternType="solid">
        <fgColor rgb="00D6E4F0"/>
        <bgColor rgb="00D6E4F0"/>
      </patternFill>
    </fill>
    <fill>
      <patternFill patternType="solid">
        <fgColor rgb="00DAE3F3"/>
        <bgColor rgb="00DAE3F3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  <fill>
      <patternFill patternType="solid">
        <fgColor rgb="00A5A5A5"/>
        <bgColor rgb="00A5A5A5"/>
      </patternFill>
    </fill>
    <fill>
      <patternFill patternType="solid">
        <fgColor rgb="007B7B7B"/>
        <bgColor rgb="007B7B7B"/>
      </patternFill>
    </fill>
    <fill>
      <patternFill patternType="solid">
        <fgColor rgb="00FFFFCC"/>
        <bgColor rgb="00FFFFCC"/>
      </patternFill>
    </fill>
    <fill>
      <patternFill patternType="solid"/>
    </fill>
    <fill>
      <patternFill patternType="solid">
        <fgColor rgb="00548235"/>
        <bgColor rgb="0054823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  <xf numFmtId="164" fontId="0" fillId="7" borderId="1" pivotButton="0" quotePrefix="0" xfId="0"/>
    <xf numFmtId="165" fontId="0" fillId="7" borderId="1" pivotButton="0" quotePrefix="0" xfId="0"/>
    <xf numFmtId="0" fontId="4" fillId="8" borderId="1" pivotButton="0" quotePrefix="0" xfId="0"/>
    <xf numFmtId="0" fontId="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10" borderId="1" pivotButton="0" quotePrefix="0" xfId="0"/>
    <xf numFmtId="0" fontId="0" fillId="11" borderId="1" pivotButton="0" quotePrefix="0" xfId="0"/>
    <xf numFmtId="165" fontId="0" fillId="11" borderId="1" pivotButton="0" quotePrefix="0" xfId="0"/>
    <xf numFmtId="164" fontId="0" fillId="11" borderId="1" pivotButton="0" quotePrefix="0" xfId="0"/>
    <xf numFmtId="0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0" fontId="9" fillId="0" borderId="0" applyAlignment="1" pivotButton="0" quotePrefix="0" xfId="0">
      <alignment horizontal="center"/>
    </xf>
    <xf numFmtId="0" fontId="3" fillId="1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3" fillId="1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3" fillId="1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3" fillId="1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0" fillId="9" borderId="1" pivotButton="0" quotePrefix="0" xfId="0"/>
    <xf numFmtId="164" fontId="0" fillId="17" borderId="1" pivotButton="0" quotePrefix="0" xfId="0"/>
    <xf numFmtId="0" fontId="0" fillId="17" borderId="1" pivotButton="0" quotePrefix="0" xfId="0"/>
    <xf numFmtId="0" fontId="0" fillId="0" borderId="2" pivotButton="0" quotePrefix="0" xfId="0"/>
    <xf numFmtId="165" fontId="0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4" fontId="0" fillId="0" borderId="2" pivotButton="0" quotePrefix="0" xfId="0"/>
    <xf numFmtId="0" fontId="15" fillId="12" borderId="1" applyAlignment="1" pivotButton="0" quotePrefix="0" xfId="0">
      <alignment horizontal="center"/>
    </xf>
    <xf numFmtId="0" fontId="0" fillId="12" borderId="1" pivotButton="0" quotePrefix="0" xfId="0"/>
    <xf numFmtId="0" fontId="15" fillId="13" borderId="1" applyAlignment="1" pivotButton="0" quotePrefix="0" xfId="0">
      <alignment horizontal="center"/>
    </xf>
    <xf numFmtId="0" fontId="0" fillId="13" borderId="1" pivotButton="0" quotePrefix="0" xfId="0"/>
    <xf numFmtId="0" fontId="15" fillId="14" borderId="1" applyAlignment="1" pivotButton="0" quotePrefix="0" xfId="0">
      <alignment horizontal="center"/>
    </xf>
    <xf numFmtId="0" fontId="0" fillId="14" borderId="1" pivotButton="0" quotePrefix="0" xfId="0"/>
    <xf numFmtId="0" fontId="15" fillId="15" borderId="1" applyAlignment="1" pivotButton="0" quotePrefix="0" xfId="0">
      <alignment horizontal="center"/>
    </xf>
    <xf numFmtId="0" fontId="0" fillId="15" borderId="1" pivotButton="0" quotePrefix="0" xfId="0"/>
    <xf numFmtId="0" fontId="15" fillId="16" borderId="1" applyAlignment="1" pivotButton="0" quotePrefix="0" xfId="0">
      <alignment horizontal="center"/>
    </xf>
    <xf numFmtId="0" fontId="0" fillId="16" borderId="1" pivotButton="0" quotePrefix="0" xfId="0"/>
    <xf numFmtId="0" fontId="15" fillId="18" borderId="0" applyAlignment="1" pivotButton="0" quotePrefix="0" xfId="0">
      <alignment horizontal="center"/>
    </xf>
    <xf numFmtId="0" fontId="0" fillId="18" borderId="0" pivotButton="0" quotePrefix="0" xfId="0"/>
    <xf numFmtId="0" fontId="16" fillId="0" borderId="0" applyAlignment="1" pivotButton="0" quotePrefix="0" xfId="0">
      <alignment horizontal="center"/>
    </xf>
    <xf numFmtId="0" fontId="3" fillId="19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3764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ANALIZA KLIENTÓW - STYCZEŃ 2026 - PEŁNE PODSUMOWANIE</t>
        </is>
      </c>
    </row>
    <row r="2">
      <c r="A2" s="2" t="inlineStr">
        <is>
          <t>Łączna sprzedaż: 361,376.21 zł | Klientów aktywnych: 120</t>
        </is>
      </c>
    </row>
    <row r="4">
      <c r="A4" s="3" t="inlineStr">
        <is>
          <t>GRUPA</t>
        </is>
      </c>
      <c r="B4" s="3" t="inlineStr">
        <is>
          <t>Klienci
ogółem</t>
        </is>
      </c>
      <c r="C4" s="3" t="inlineStr">
        <is>
          <t>Aktywni
Sty 26</t>
        </is>
      </c>
      <c r="D4" s="3" t="inlineStr">
        <is>
          <t>Sprzedaż
Sty 26</t>
        </is>
      </c>
      <c r="E4" s="3" t="inlineStr">
        <is>
          <t>Koszt
Sty 26</t>
        </is>
      </c>
      <c r="F4" s="3" t="inlineStr">
        <is>
          <t>Zysk
Sty 26</t>
        </is>
      </c>
      <c r="G4" s="3" t="inlineStr">
        <is>
          <t>Marża</t>
        </is>
      </c>
      <c r="H4" s="3" t="inlineStr">
        <is>
          <t>Sprzedaż
Gru 25</t>
        </is>
      </c>
      <c r="I4" s="3" t="inlineStr">
        <is>
          <t>Zmiana
vs Gru 25</t>
        </is>
      </c>
    </row>
    <row r="5">
      <c r="A5" s="4" t="inlineStr">
        <is>
          <t>PREMIUM GOSIA</t>
        </is>
      </c>
      <c r="B5" s="5" t="n">
        <v>11</v>
      </c>
      <c r="C5" s="5" t="n">
        <v>7</v>
      </c>
      <c r="D5" s="6" t="n">
        <v>90707.13</v>
      </c>
      <c r="E5" s="6" t="n">
        <v>61594.91876524151</v>
      </c>
      <c r="F5" s="6" t="n">
        <v>29112.21123475849</v>
      </c>
      <c r="G5" s="7" t="n">
        <v>0.3209473305434588</v>
      </c>
      <c r="H5" s="6" t="n">
        <v>130129.8</v>
      </c>
      <c r="I5" s="7" t="n">
        <v>-0.3029488249424805</v>
      </c>
    </row>
    <row r="6">
      <c r="A6" s="8" t="inlineStr">
        <is>
          <t>PREMIUM MAGDA</t>
        </is>
      </c>
      <c r="B6" s="9" t="n">
        <v>36</v>
      </c>
      <c r="C6" s="9" t="n">
        <v>33</v>
      </c>
      <c r="D6" s="10" t="n">
        <v>127318.03</v>
      </c>
      <c r="E6" s="10" t="n">
        <v>78700.87417106412</v>
      </c>
      <c r="F6" s="10" t="n">
        <v>48617.15582893589</v>
      </c>
      <c r="G6" s="11" t="n">
        <v>0.3818560170066713</v>
      </c>
      <c r="H6" s="10" t="n">
        <v>178908.71</v>
      </c>
      <c r="I6" s="11" t="n">
        <v>-0.2883631545943177</v>
      </c>
    </row>
    <row r="7">
      <c r="A7" s="12" t="inlineStr">
        <is>
          <t>STANDARD MAGDA</t>
        </is>
      </c>
      <c r="B7" s="13" t="n">
        <v>43</v>
      </c>
      <c r="C7" s="13" t="n">
        <v>36</v>
      </c>
      <c r="D7" s="14" t="n">
        <v>92360.71000000001</v>
      </c>
      <c r="E7" s="14" t="n">
        <v>56081.16286068647</v>
      </c>
      <c r="F7" s="14" t="n">
        <v>36279.54713931354</v>
      </c>
      <c r="G7" s="15" t="n">
        <v>0.3928028177708198</v>
      </c>
      <c r="H7" s="14" t="n">
        <v>99347.48</v>
      </c>
      <c r="I7" s="15" t="n">
        <v>-0.07032659509833555</v>
      </c>
    </row>
    <row r="8">
      <c r="A8" s="16" t="inlineStr">
        <is>
          <t>WERYFIKACJA - ZOSTANĄ</t>
        </is>
      </c>
      <c r="B8" s="17" t="n">
        <v>30</v>
      </c>
      <c r="C8" s="17" t="n">
        <v>23</v>
      </c>
      <c r="D8" s="18" t="n">
        <v>27867.19</v>
      </c>
      <c r="E8" s="18" t="n">
        <v>17081.38425349212</v>
      </c>
      <c r="F8" s="18" t="n">
        <v>10785.80574650788</v>
      </c>
      <c r="G8" s="19" t="n">
        <v>0.3870431768150244</v>
      </c>
      <c r="H8" s="18" t="n">
        <v>37007.69999999999</v>
      </c>
      <c r="I8" s="19" t="n">
        <v>-0.2469894103119079</v>
      </c>
    </row>
    <row r="9">
      <c r="A9" s="20" t="inlineStr">
        <is>
          <t>WERYFIKACJA - ODEJDĄ</t>
        </is>
      </c>
      <c r="B9" s="21" t="n">
        <v>47</v>
      </c>
      <c r="C9" s="21" t="n">
        <v>12</v>
      </c>
      <c r="D9" s="22" t="n">
        <v>10216.06</v>
      </c>
      <c r="E9" s="22" t="n">
        <v>6151.608346114746</v>
      </c>
      <c r="F9" s="22" t="n">
        <v>4064.451653885255</v>
      </c>
      <c r="G9" s="23" t="n">
        <v>0.3978492348209833</v>
      </c>
      <c r="H9" s="22" t="n">
        <v>21116.8</v>
      </c>
      <c r="I9" s="23" t="n">
        <v>-0.5162117366267616</v>
      </c>
    </row>
    <row r="10">
      <c r="A10" s="24" t="inlineStr">
        <is>
          <t>INNE (nowi / nieprzypisani)</t>
        </is>
      </c>
      <c r="B10" s="25" t="n">
        <v>164</v>
      </c>
      <c r="C10" s="25" t="n">
        <v>9</v>
      </c>
      <c r="D10" s="26" t="n">
        <v>12907.09</v>
      </c>
      <c r="E10" s="26" t="n">
        <v>9166.261603401044</v>
      </c>
      <c r="F10" s="26" t="n">
        <v>3740.828396598956</v>
      </c>
      <c r="G10" s="27" t="n">
        <v>0.2898274046744042</v>
      </c>
      <c r="H10" s="26" t="n">
        <v>11330.58</v>
      </c>
      <c r="I10" s="27" t="n">
        <v>0.139137625787912</v>
      </c>
    </row>
    <row r="11">
      <c r="A11" s="28" t="inlineStr">
        <is>
          <t>RAZEM</t>
        </is>
      </c>
      <c r="B11" s="28" t="n">
        <v>331</v>
      </c>
      <c r="C11" s="28" t="n">
        <v>120</v>
      </c>
      <c r="D11" s="29" t="n">
        <v>361376.2100000001</v>
      </c>
      <c r="E11" s="29" t="n">
        <v>228776.21</v>
      </c>
      <c r="F11" s="29" t="n">
        <v>132600.0000000001</v>
      </c>
      <c r="G11" s="30" t="n">
        <v>0.3669306288867218</v>
      </c>
      <c r="H11" s="29" t="n">
        <v>477841.0699999999</v>
      </c>
      <c r="I11" s="30" t="n">
        <v>-0.2437313728600178</v>
      </c>
    </row>
    <row r="13">
      <c r="A13" s="31" t="inlineStr">
        <is>
          <t>UDZIAŁ GRUP W SPRZEDAŻY STY 26:</t>
        </is>
      </c>
    </row>
    <row r="14">
      <c r="A14" t="inlineStr">
        <is>
          <t xml:space="preserve">  PREMIUM GOSIA</t>
        </is>
      </c>
      <c r="B14" s="32" t="n">
        <v>90707.13</v>
      </c>
      <c r="C14" s="33" t="n">
        <v>0.251004707808519</v>
      </c>
    </row>
    <row r="15">
      <c r="A15" t="inlineStr">
        <is>
          <t xml:space="preserve">  PREMIUM MAGDA</t>
        </is>
      </c>
      <c r="B15" s="32" t="n">
        <v>127318.03</v>
      </c>
      <c r="C15" s="33" t="n">
        <v>0.3523143651321153</v>
      </c>
    </row>
    <row r="16">
      <c r="A16" t="inlineStr">
        <is>
          <t xml:space="preserve">  STANDARD MAGDA</t>
        </is>
      </c>
      <c r="B16" s="32" t="n">
        <v>92360.71000000001</v>
      </c>
      <c r="C16" s="33" t="n">
        <v>0.2555804932482965</v>
      </c>
    </row>
    <row r="17">
      <c r="A17" t="inlineStr">
        <is>
          <t xml:space="preserve">  WERYFIKACJA - ZOSTANĄ</t>
        </is>
      </c>
      <c r="B17" s="32" t="n">
        <v>27867.19</v>
      </c>
      <c r="C17" s="33" t="n">
        <v>0.07711406901965127</v>
      </c>
    </row>
    <row r="18">
      <c r="A18" t="inlineStr">
        <is>
          <t xml:space="preserve">  WERYFIKACJA - ODEJDĄ</t>
        </is>
      </c>
      <c r="B18" s="32" t="n">
        <v>10216.06</v>
      </c>
      <c r="C18" s="33" t="n">
        <v>0.02826987421225099</v>
      </c>
    </row>
    <row r="19">
      <c r="A19" t="inlineStr">
        <is>
          <t xml:space="preserve">  INNE (nowi / nieprzypisani)</t>
        </is>
      </c>
      <c r="B19" s="32" t="n">
        <v>12907.09</v>
      </c>
      <c r="C19" s="33" t="n">
        <v>0.03571649057916678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34" t="inlineStr">
        <is>
          <t>PREMIUM GOSIA - STYCZEŃ 2026</t>
        </is>
      </c>
    </row>
    <row r="2">
      <c r="A2" s="35" t="inlineStr">
        <is>
          <t>Aktywni: 7/11 | Sprzedaż: 90,707 zł | Zysk: 29,112 zł | Marża: 32.1%</t>
        </is>
      </c>
    </row>
    <row r="4">
      <c r="A4" s="36" t="inlineStr">
        <is>
          <t>Poz.</t>
        </is>
      </c>
      <c r="B4" s="36" t="inlineStr">
        <is>
          <t>Klient</t>
        </is>
      </c>
      <c r="C4" s="36" t="inlineStr">
        <is>
          <t>Rabat %</t>
        </is>
      </c>
      <c r="D4" s="36" t="inlineStr">
        <is>
          <t>Sprzedaż
Sty 26</t>
        </is>
      </c>
      <c r="E4" s="36" t="inlineStr">
        <is>
          <t>Koszt
Sty 26</t>
        </is>
      </c>
      <c r="F4" s="36" t="inlineStr">
        <is>
          <t>Zysk
Sty 26</t>
        </is>
      </c>
      <c r="G4" s="36" t="inlineStr">
        <is>
          <t>Marża</t>
        </is>
      </c>
      <c r="H4" s="36" t="inlineStr">
        <is>
          <t>Sprzedaż
Gru 25</t>
        </is>
      </c>
      <c r="I4" s="36" t="inlineStr">
        <is>
          <t>Zmiana
vs Gru 25</t>
        </is>
      </c>
      <c r="J4" s="36" t="inlineStr">
        <is>
          <t>Śr. mies.
2025</t>
        </is>
      </c>
      <c r="K4" s="36" t="inlineStr">
        <is>
          <t>Trend
vs średnia</t>
        </is>
      </c>
    </row>
    <row r="5">
      <c r="A5" s="37" t="n">
        <v>1</v>
      </c>
      <c r="B5" s="37" t="inlineStr">
        <is>
          <t>Amar Beirut</t>
        </is>
      </c>
      <c r="C5" s="38" t="n">
        <v>0.3</v>
      </c>
      <c r="D5" s="39" t="n">
        <v>36225.57</v>
      </c>
      <c r="E5" s="39" t="n">
        <v>27221.7925786618</v>
      </c>
      <c r="F5" s="39" t="n">
        <v>9003.7774213382</v>
      </c>
      <c r="G5" s="38" t="n">
        <v>0.248547570716988</v>
      </c>
      <c r="H5" s="39" t="n">
        <v>25365.58</v>
      </c>
      <c r="I5" s="38" t="n">
        <v>0.4281388401132557</v>
      </c>
      <c r="J5" s="39" t="n">
        <v>25914.15166666667</v>
      </c>
      <c r="K5" s="38" t="n">
        <v>0.3979068451079914</v>
      </c>
    </row>
    <row r="6">
      <c r="A6" s="40" t="n">
        <v>2</v>
      </c>
      <c r="B6" s="40" t="inlineStr">
        <is>
          <t>Lupo</t>
        </is>
      </c>
      <c r="C6" s="41" t="n">
        <v>0.21</v>
      </c>
      <c r="D6" s="42" t="n">
        <v>22608.21</v>
      </c>
      <c r="E6" s="42" t="n">
        <v>14895.71591811261</v>
      </c>
      <c r="F6" s="42" t="n">
        <v>7712.494081887389</v>
      </c>
      <c r="G6" s="41" t="n">
        <v>0.341136873812097</v>
      </c>
      <c r="H6" s="42" t="n">
        <v>22488.31</v>
      </c>
      <c r="I6" s="41" t="n">
        <v>0.005331658981933183</v>
      </c>
      <c r="J6" s="42" t="n">
        <v>23223.57</v>
      </c>
      <c r="K6" s="41" t="n">
        <v>-0.02649721812796242</v>
      </c>
    </row>
    <row r="7">
      <c r="A7" s="37" t="n">
        <v>3</v>
      </c>
      <c r="B7" s="37" t="inlineStr">
        <is>
          <t>Sakana Wilanów</t>
        </is>
      </c>
      <c r="C7" s="38" t="n">
        <v>0.2</v>
      </c>
      <c r="D7" s="39" t="n">
        <v>10940.75</v>
      </c>
      <c r="E7" s="39" t="n">
        <v>6772.748346102986</v>
      </c>
      <c r="F7" s="39" t="n">
        <v>4168.001653897014</v>
      </c>
      <c r="G7" s="38" t="n">
        <v>0.380961237017299</v>
      </c>
      <c r="H7" s="39" t="n">
        <v>12206.6</v>
      </c>
      <c r="I7" s="38" t="n">
        <v>-0.103702095587633</v>
      </c>
      <c r="J7" s="39" t="n">
        <v>10507.03916666667</v>
      </c>
      <c r="K7" s="38" t="n">
        <v>0.04127812092956405</v>
      </c>
    </row>
    <row r="8">
      <c r="A8" s="40" t="n">
        <v>4</v>
      </c>
      <c r="B8" s="40" t="inlineStr">
        <is>
          <t>Sakana Sushi - Burakowska P</t>
        </is>
      </c>
      <c r="C8" s="41" t="n">
        <v>0.2</v>
      </c>
      <c r="D8" s="42" t="n">
        <v>6648.54</v>
      </c>
      <c r="E8" s="42" t="n">
        <v>4055.138875359384</v>
      </c>
      <c r="F8" s="42" t="n">
        <v>2593.401124640616</v>
      </c>
      <c r="G8" s="41" t="n">
        <v>0.3900707711227752</v>
      </c>
      <c r="H8" s="42" t="n">
        <v>11086.17</v>
      </c>
      <c r="I8" s="41" t="n">
        <v>-0.4002852202338589</v>
      </c>
      <c r="J8" s="42" t="n">
        <v>8627.535833333333</v>
      </c>
      <c r="K8" s="41" t="n">
        <v>-0.229381351936817</v>
      </c>
    </row>
    <row r="9">
      <c r="A9" s="37" t="n">
        <v>5</v>
      </c>
      <c r="B9" s="37" t="inlineStr">
        <is>
          <t>SOUND GARDEN HOTEL</t>
        </is>
      </c>
      <c r="C9" s="38" t="n">
        <v>0.2</v>
      </c>
      <c r="D9" s="39" t="n">
        <v>5656.16</v>
      </c>
      <c r="E9" s="39" t="n">
        <v>3489.811773606125</v>
      </c>
      <c r="F9" s="39" t="n">
        <v>2166.348226393875</v>
      </c>
      <c r="G9" s="38" t="n">
        <v>0.3830068856598602</v>
      </c>
      <c r="H9" s="39" t="n">
        <v>13641.08</v>
      </c>
      <c r="I9" s="38" t="n">
        <v>-0.5853583440607342</v>
      </c>
      <c r="J9" s="39" t="n">
        <v>10104.63166666667</v>
      </c>
      <c r="K9" s="38" t="n">
        <v>-0.4402408532456816</v>
      </c>
    </row>
    <row r="10">
      <c r="A10" s="40" t="n">
        <v>6</v>
      </c>
      <c r="B10" s="40" t="inlineStr">
        <is>
          <t>Sakana Sushi Molieria</t>
        </is>
      </c>
      <c r="C10" s="41" t="n">
        <v>0.2</v>
      </c>
      <c r="D10" s="42" t="n">
        <v>4580.3</v>
      </c>
      <c r="E10" s="42" t="n">
        <v>2718.075616620461</v>
      </c>
      <c r="F10" s="42" t="n">
        <v>1862.224383379539</v>
      </c>
      <c r="G10" s="41" t="n">
        <v>0.4065725789532431</v>
      </c>
      <c r="H10" s="42" t="n">
        <v>5743.48</v>
      </c>
      <c r="I10" s="41" t="n">
        <v>-0.2025218160418421</v>
      </c>
      <c r="J10" s="42" t="n">
        <v>4290.476666666666</v>
      </c>
      <c r="K10" s="41" t="n">
        <v>0.06755038096000221</v>
      </c>
    </row>
    <row r="11">
      <c r="A11" s="37" t="n">
        <v>7</v>
      </c>
      <c r="B11" s="37" t="inlineStr">
        <is>
          <t>Abruzzo</t>
        </is>
      </c>
      <c r="C11" s="38" t="n">
        <v>0.2</v>
      </c>
      <c r="D11" s="39" t="n">
        <v>4047.6</v>
      </c>
      <c r="E11" s="39" t="n">
        <v>2441.635656778144</v>
      </c>
      <c r="F11" s="39" t="n">
        <v>1605.964343221856</v>
      </c>
      <c r="G11" s="38" t="n">
        <v>0.3967695284172981</v>
      </c>
      <c r="H11" s="39" t="n">
        <v>4950.059999999999</v>
      </c>
      <c r="I11" s="38" t="n">
        <v>-0.182312941661313</v>
      </c>
      <c r="J11" s="39" t="n">
        <v>4343.615833333333</v>
      </c>
      <c r="K11" s="38" t="n">
        <v>-0.06814963493356822</v>
      </c>
    </row>
    <row r="12">
      <c r="A12" s="43" t="n">
        <v>8</v>
      </c>
      <c r="B12" s="43" t="inlineStr">
        <is>
          <t>Belvedere</t>
        </is>
      </c>
      <c r="C12" s="44" t="n">
        <v>0.25</v>
      </c>
      <c r="D12" s="45" t="n">
        <v>0</v>
      </c>
      <c r="E12" s="45" t="n">
        <v>0</v>
      </c>
      <c r="F12" s="45" t="n">
        <v>0</v>
      </c>
      <c r="G12" s="44" t="n">
        <v>0</v>
      </c>
      <c r="H12" s="45" t="n">
        <v>400.96</v>
      </c>
      <c r="I12" s="44" t="n">
        <v>-1</v>
      </c>
      <c r="J12" s="45" t="n">
        <v>1403.625</v>
      </c>
      <c r="K12" s="44" t="n">
        <v>-1</v>
      </c>
    </row>
    <row r="13">
      <c r="A13" s="43" t="n">
        <v>9</v>
      </c>
      <c r="B13" s="43" t="inlineStr">
        <is>
          <t>Grzybki-Magazyn</t>
        </is>
      </c>
      <c r="C13" s="44" t="n">
        <v>0.15</v>
      </c>
      <c r="D13" s="45" t="n">
        <v>0</v>
      </c>
      <c r="E13" s="45" t="n">
        <v>0</v>
      </c>
      <c r="F13" s="45" t="n">
        <v>0</v>
      </c>
      <c r="G13" s="44" t="n">
        <v>0</v>
      </c>
      <c r="H13" s="45" t="n">
        <v>0</v>
      </c>
      <c r="I13" s="44" t="n">
        <v>0</v>
      </c>
      <c r="J13" s="45" t="n">
        <v>46639.36666666667</v>
      </c>
      <c r="K13" s="44" t="n">
        <v>-1</v>
      </c>
    </row>
    <row r="14">
      <c r="A14" s="43" t="n">
        <v>10</v>
      </c>
      <c r="B14" s="43" t="inlineStr">
        <is>
          <t>DOM PRACOWNIKA SŁUŻBY ZDROWIA</t>
        </is>
      </c>
      <c r="C14" s="44" t="n">
        <v>0.15</v>
      </c>
      <c r="D14" s="45" t="n">
        <v>0</v>
      </c>
      <c r="E14" s="45" t="n">
        <v>0</v>
      </c>
      <c r="F14" s="45" t="n">
        <v>0</v>
      </c>
      <c r="G14" s="44" t="n">
        <v>0</v>
      </c>
      <c r="H14" s="45" t="n">
        <v>34247.56</v>
      </c>
      <c r="I14" s="44" t="n">
        <v>-1</v>
      </c>
      <c r="J14" s="45" t="n">
        <v>34247.56</v>
      </c>
      <c r="K14" s="44" t="n">
        <v>-1</v>
      </c>
    </row>
    <row r="15">
      <c r="A15" s="43" t="n">
        <v>11</v>
      </c>
      <c r="B15" s="43" t="inlineStr">
        <is>
          <t>Grzybki-Malownicza Produkcja</t>
        </is>
      </c>
      <c r="C15" s="44" t="n">
        <v>0.15</v>
      </c>
      <c r="D15" s="45" t="n">
        <v>0</v>
      </c>
      <c r="E15" s="45" t="n">
        <v>0</v>
      </c>
      <c r="F15" s="45" t="n">
        <v>0</v>
      </c>
      <c r="G15" s="44" t="n">
        <v>0</v>
      </c>
      <c r="H15" s="45" t="n">
        <v>0</v>
      </c>
      <c r="I15" s="44" t="n">
        <v>0</v>
      </c>
      <c r="J15" s="45" t="n">
        <v>25271.57571428571</v>
      </c>
      <c r="K15" s="44" t="n">
        <v>-1</v>
      </c>
    </row>
    <row r="16">
      <c r="A16" s="46" t="n"/>
      <c r="B16" s="46" t="inlineStr">
        <is>
          <t>RAZEM</t>
        </is>
      </c>
      <c r="C16" s="47" t="n"/>
      <c r="D16" s="48" t="n">
        <v>90707.13</v>
      </c>
      <c r="E16" s="48" t="n">
        <v>61594.91876524151</v>
      </c>
      <c r="F16" s="48" t="n">
        <v>29112.21123475849</v>
      </c>
      <c r="G16" s="47" t="n">
        <v>0.3209473305434588</v>
      </c>
      <c r="H16" s="48" t="n">
        <v>130129.8</v>
      </c>
      <c r="I16" s="47" t="n"/>
      <c r="J16" s="48" t="n"/>
      <c r="K16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49" t="inlineStr">
        <is>
          <t>PREMIUM MAGDA - STYCZEŃ 2026</t>
        </is>
      </c>
    </row>
    <row r="2">
      <c r="A2" s="35" t="inlineStr">
        <is>
          <t>Aktywni: 33/36 | Sprzedaż: 127,318 zł | Zysk: 48,617 zł | Marża: 38.2%</t>
        </is>
      </c>
    </row>
    <row r="4">
      <c r="A4" s="50" t="inlineStr">
        <is>
          <t>Poz.</t>
        </is>
      </c>
      <c r="B4" s="50" t="inlineStr">
        <is>
          <t>Klient</t>
        </is>
      </c>
      <c r="C4" s="50" t="inlineStr">
        <is>
          <t>Rabat %</t>
        </is>
      </c>
      <c r="D4" s="50" t="inlineStr">
        <is>
          <t>Sprzedaż
Sty 26</t>
        </is>
      </c>
      <c r="E4" s="50" t="inlineStr">
        <is>
          <t>Koszt
Sty 26</t>
        </is>
      </c>
      <c r="F4" s="50" t="inlineStr">
        <is>
          <t>Zysk
Sty 26</t>
        </is>
      </c>
      <c r="G4" s="50" t="inlineStr">
        <is>
          <t>Marża</t>
        </is>
      </c>
      <c r="H4" s="50" t="inlineStr">
        <is>
          <t>Sprzedaż
Gru 25</t>
        </is>
      </c>
      <c r="I4" s="50" t="inlineStr">
        <is>
          <t>Zmiana
vs Gru 25</t>
        </is>
      </c>
      <c r="J4" s="50" t="inlineStr">
        <is>
          <t>Śr. mies.
2025</t>
        </is>
      </c>
      <c r="K4" s="50" t="inlineStr">
        <is>
          <t>Trend
vs średnia</t>
        </is>
      </c>
    </row>
    <row r="5">
      <c r="A5" s="37" t="n">
        <v>1</v>
      </c>
      <c r="B5" s="37" t="inlineStr">
        <is>
          <t>Sushi Soul</t>
        </is>
      </c>
      <c r="C5" s="38" t="n">
        <v>0.2</v>
      </c>
      <c r="D5" s="39" t="n">
        <v>8994.57</v>
      </c>
      <c r="E5" s="39" t="n">
        <v>5392.620974839017</v>
      </c>
      <c r="F5" s="39" t="n">
        <v>3601.949025160982</v>
      </c>
      <c r="G5" s="38" t="n">
        <v>0.4004581681126482</v>
      </c>
      <c r="H5" s="39" t="n">
        <v>11939.04</v>
      </c>
      <c r="I5" s="38" t="n">
        <v>-0.2466253568126081</v>
      </c>
      <c r="J5" s="39" t="n">
        <v>10001.1825</v>
      </c>
      <c r="K5" s="38" t="n">
        <v>-0.1006493482145737</v>
      </c>
    </row>
    <row r="6">
      <c r="A6" s="40" t="n">
        <v>2</v>
      </c>
      <c r="B6" s="40" t="inlineStr">
        <is>
          <t>Solivoda - Szkoła Amerykańska</t>
        </is>
      </c>
      <c r="C6" s="41" t="n">
        <v>0.11</v>
      </c>
      <c r="D6" s="42" t="n">
        <v>8877.85</v>
      </c>
      <c r="E6" s="42" t="n">
        <v>5104.379389036076</v>
      </c>
      <c r="F6" s="42" t="n">
        <v>3773.470610963925</v>
      </c>
      <c r="G6" s="41" t="n">
        <v>0.425043294374643</v>
      </c>
      <c r="H6" s="42" t="n">
        <v>4038.69</v>
      </c>
      <c r="I6" s="41" t="n">
        <v>1.198200406567476</v>
      </c>
      <c r="J6" s="42" t="n">
        <v>6095.070909090909</v>
      </c>
      <c r="K6" s="41" t="n">
        <v>0.4565622176369641</v>
      </c>
    </row>
    <row r="7">
      <c r="A7" s="37" t="n">
        <v>3</v>
      </c>
      <c r="B7" s="37" t="inlineStr">
        <is>
          <t>Culture Cafe - Wola</t>
        </is>
      </c>
      <c r="C7" s="38" t="n">
        <v>0.2</v>
      </c>
      <c r="D7" s="39" t="n">
        <v>8474.23</v>
      </c>
      <c r="E7" s="39" t="n">
        <v>5476.838281288813</v>
      </c>
      <c r="F7" s="39" t="n">
        <v>2997.391718711187</v>
      </c>
      <c r="G7" s="38" t="n">
        <v>0.3537066752626712</v>
      </c>
      <c r="H7" s="39" t="n">
        <v>10446.66</v>
      </c>
      <c r="I7" s="38" t="n">
        <v>-0.1888096291063364</v>
      </c>
      <c r="J7" s="39" t="n">
        <v>6443.637500000001</v>
      </c>
      <c r="K7" s="38" t="n">
        <v>0.3151313989962965</v>
      </c>
    </row>
    <row r="8">
      <c r="A8" s="40" t="n">
        <v>4</v>
      </c>
      <c r="B8" s="40" t="inlineStr">
        <is>
          <t>Solivoda Konstancin PSE</t>
        </is>
      </c>
      <c r="C8" s="41" t="n">
        <v>0.11</v>
      </c>
      <c r="D8" s="42" t="n">
        <v>7393.42</v>
      </c>
      <c r="E8" s="42" t="n">
        <v>3982.756324150992</v>
      </c>
      <c r="F8" s="42" t="n">
        <v>3410.663675849008</v>
      </c>
      <c r="G8" s="41" t="n">
        <v>0.461310689214059</v>
      </c>
      <c r="H8" s="42" t="n">
        <v>12788.3</v>
      </c>
      <c r="I8" s="41" t="n">
        <v>-0.4218606069610503</v>
      </c>
      <c r="J8" s="42" t="n">
        <v>8006.545833333334</v>
      </c>
      <c r="K8" s="41" t="n">
        <v>-0.07657807075564735</v>
      </c>
    </row>
    <row r="9">
      <c r="A9" s="37" t="n">
        <v>5</v>
      </c>
      <c r="B9" s="37" t="inlineStr">
        <is>
          <t>GAN BEI</t>
        </is>
      </c>
      <c r="C9" s="38" t="n">
        <v>0.15</v>
      </c>
      <c r="D9" s="39" t="n">
        <v>7129.46</v>
      </c>
      <c r="E9" s="39" t="n">
        <v>4246.889404338101</v>
      </c>
      <c r="F9" s="39" t="n">
        <v>2882.570595661899</v>
      </c>
      <c r="G9" s="38" t="n">
        <v>0.4043182226510703</v>
      </c>
      <c r="H9" s="39" t="n">
        <v>9100.17</v>
      </c>
      <c r="I9" s="38" t="n">
        <v>-0.2165574928820011</v>
      </c>
      <c r="J9" s="39" t="n">
        <v>6973.054166666668</v>
      </c>
      <c r="K9" s="38" t="n">
        <v>0.02243003275107199</v>
      </c>
    </row>
    <row r="10">
      <c r="A10" s="40" t="n">
        <v>6</v>
      </c>
      <c r="B10" s="40" t="inlineStr">
        <is>
          <t>Lunch - Kuba 2</t>
        </is>
      </c>
      <c r="C10" s="41" t="n">
        <v>0.15</v>
      </c>
      <c r="D10" s="42" t="n">
        <v>5273.9</v>
      </c>
      <c r="E10" s="42" t="n">
        <v>3322.016467274561</v>
      </c>
      <c r="F10" s="42" t="n">
        <v>1951.883532725439</v>
      </c>
      <c r="G10" s="41" t="n">
        <v>0.3701024920315969</v>
      </c>
      <c r="H10" s="42" t="n">
        <v>3333.02</v>
      </c>
      <c r="I10" s="41" t="n">
        <v>0.5823187379613682</v>
      </c>
      <c r="J10" s="42" t="n">
        <v>4790.9825</v>
      </c>
      <c r="K10" s="41" t="n">
        <v>0.1007971746922473</v>
      </c>
    </row>
    <row r="11">
      <c r="A11" s="37" t="n">
        <v>7</v>
      </c>
      <c r="B11" s="37" t="inlineStr">
        <is>
          <t>Seafood Station</t>
        </is>
      </c>
      <c r="C11" s="38" t="n">
        <v>0.19</v>
      </c>
      <c r="D11" s="39" t="n">
        <v>5209.83</v>
      </c>
      <c r="E11" s="39" t="n">
        <v>3251.396102108302</v>
      </c>
      <c r="F11" s="39" t="n">
        <v>1958.433897891698</v>
      </c>
      <c r="G11" s="38" t="n">
        <v>0.3759112865279094</v>
      </c>
      <c r="H11" s="39" t="n">
        <v>7431.030000000001</v>
      </c>
      <c r="I11" s="38" t="n">
        <v>-0.2989087650029674</v>
      </c>
      <c r="J11" s="39" t="n">
        <v>5918.875</v>
      </c>
      <c r="K11" s="38" t="n">
        <v>-0.1197938797491077</v>
      </c>
    </row>
    <row r="12">
      <c r="A12" s="40" t="n">
        <v>8</v>
      </c>
      <c r="B12" s="40" t="inlineStr">
        <is>
          <t>Culture Cafe</t>
        </is>
      </c>
      <c r="C12" s="41" t="n">
        <v>0.2</v>
      </c>
      <c r="D12" s="42" t="n">
        <v>5067.14</v>
      </c>
      <c r="E12" s="42" t="n">
        <v>3326.614048119058</v>
      </c>
      <c r="F12" s="42" t="n">
        <v>1740.525951880942</v>
      </c>
      <c r="G12" s="41" t="n">
        <v>0.3434927694677751</v>
      </c>
      <c r="H12" s="42" t="n">
        <v>3760.64</v>
      </c>
      <c r="I12" s="41" t="n">
        <v>0.3474142699115045</v>
      </c>
      <c r="J12" s="42" t="n">
        <v>4024.4</v>
      </c>
      <c r="K12" s="41" t="n">
        <v>0.25910446277706</v>
      </c>
    </row>
    <row r="13">
      <c r="A13" s="37" t="n">
        <v>9</v>
      </c>
      <c r="B13" s="37" t="inlineStr">
        <is>
          <t>GAN BEI CHMIELNA</t>
        </is>
      </c>
      <c r="C13" s="38" t="n">
        <v>0.15</v>
      </c>
      <c r="D13" s="39" t="n">
        <v>5025.47</v>
      </c>
      <c r="E13" s="39" t="n">
        <v>2885.08284543816</v>
      </c>
      <c r="F13" s="39" t="n">
        <v>2140.38715456184</v>
      </c>
      <c r="G13" s="38" t="n">
        <v>0.4259078562924145</v>
      </c>
      <c r="H13" s="39" t="n">
        <v>7314.76</v>
      </c>
      <c r="I13" s="38" t="n">
        <v>-0.312968573131586</v>
      </c>
      <c r="J13" s="39" t="n">
        <v>5391.559166666667</v>
      </c>
      <c r="K13" s="38" t="n">
        <v>-0.06790042645363407</v>
      </c>
    </row>
    <row r="14">
      <c r="A14" s="40" t="n">
        <v>10</v>
      </c>
      <c r="B14" s="40" t="inlineStr">
        <is>
          <t>Street Daszyńskiego</t>
        </is>
      </c>
      <c r="C14" s="41" t="n">
        <v>0.15</v>
      </c>
      <c r="D14" s="42" t="n">
        <v>5019.55</v>
      </c>
      <c r="E14" s="42" t="n">
        <v>3064.70556076427</v>
      </c>
      <c r="F14" s="42" t="n">
        <v>1954.84443923573</v>
      </c>
      <c r="G14" s="41" t="n">
        <v>0.3894461533874012</v>
      </c>
      <c r="H14" s="42" t="n">
        <v>5676.86</v>
      </c>
      <c r="I14" s="41" t="n">
        <v>-0.1157876008920423</v>
      </c>
      <c r="J14" s="42" t="n">
        <v>5773.171666666666</v>
      </c>
      <c r="K14" s="41" t="n">
        <v>-0.1305385860978208</v>
      </c>
    </row>
    <row r="15">
      <c r="A15" s="37" t="n">
        <v>11</v>
      </c>
      <c r="B15" s="37" t="inlineStr">
        <is>
          <t>Voda</t>
        </is>
      </c>
      <c r="C15" s="38" t="n">
        <v>0.2</v>
      </c>
      <c r="D15" s="39" t="n">
        <v>4985.64</v>
      </c>
      <c r="E15" s="39" t="n">
        <v>3551.366310361841</v>
      </c>
      <c r="F15" s="39" t="n">
        <v>1434.273689638159</v>
      </c>
      <c r="G15" s="38" t="n">
        <v>0.2876809576379681</v>
      </c>
      <c r="H15" s="39" t="n">
        <v>5564.42</v>
      </c>
      <c r="I15" s="38" t="n">
        <v>-0.1040144345682029</v>
      </c>
      <c r="J15" s="39" t="n">
        <v>6696.553333333333</v>
      </c>
      <c r="K15" s="38" t="n">
        <v>-0.2554916310181456</v>
      </c>
    </row>
    <row r="16">
      <c r="A16" s="40" t="n">
        <v>12</v>
      </c>
      <c r="B16" s="40" t="inlineStr">
        <is>
          <t>SEAGULL</t>
        </is>
      </c>
      <c r="C16" s="41" t="n">
        <v>0.2</v>
      </c>
      <c r="D16" s="42" t="n">
        <v>4899.53</v>
      </c>
      <c r="E16" s="42" t="n">
        <v>3289.956535832588</v>
      </c>
      <c r="F16" s="42" t="n">
        <v>1609.573464167412</v>
      </c>
      <c r="G16" s="41" t="n">
        <v>0.3285158911502556</v>
      </c>
      <c r="H16" s="42" t="n">
        <v>6257.34</v>
      </c>
      <c r="I16" s="41" t="n">
        <v>-0.2169947613522679</v>
      </c>
      <c r="J16" s="42" t="n">
        <v>5184.531666666667</v>
      </c>
      <c r="K16" s="41" t="n">
        <v>-0.0549715355196018</v>
      </c>
    </row>
    <row r="17">
      <c r="A17" s="37" t="n">
        <v>13</v>
      </c>
      <c r="B17" s="37" t="inlineStr">
        <is>
          <t>KUMPLE</t>
        </is>
      </c>
      <c r="C17" s="38" t="n">
        <v>0.18</v>
      </c>
      <c r="D17" s="39" t="n">
        <v>4741.2</v>
      </c>
      <c r="E17" s="39" t="n">
        <v>3050.683553654276</v>
      </c>
      <c r="F17" s="39" t="n">
        <v>1690.516446345724</v>
      </c>
      <c r="G17" s="38" t="n">
        <v>0.3565587712700844</v>
      </c>
      <c r="H17" s="39" t="n">
        <v>6625.66</v>
      </c>
      <c r="I17" s="38" t="n">
        <v>-0.2844184579347567</v>
      </c>
      <c r="J17" s="39" t="n">
        <v>4778.563333333334</v>
      </c>
      <c r="K17" s="38" t="n">
        <v>-0.007818946977787679</v>
      </c>
    </row>
    <row r="18">
      <c r="A18" s="40" t="n">
        <v>14</v>
      </c>
      <c r="B18" s="40" t="inlineStr">
        <is>
          <t>Wozownia</t>
        </is>
      </c>
      <c r="C18" s="41" t="n">
        <v>0.18</v>
      </c>
      <c r="D18" s="42" t="n">
        <v>4489.02</v>
      </c>
      <c r="E18" s="42" t="n">
        <v>2690.172602958975</v>
      </c>
      <c r="F18" s="42" t="n">
        <v>1798.847397041025</v>
      </c>
      <c r="G18" s="41" t="n">
        <v>0.4007216267784562</v>
      </c>
      <c r="H18" s="42" t="n">
        <v>4936.719999999999</v>
      </c>
      <c r="I18" s="41" t="n">
        <v>-0.09068774408919261</v>
      </c>
      <c r="J18" s="42" t="n">
        <v>5825.083333333333</v>
      </c>
      <c r="K18" s="41" t="n">
        <v>-0.2293638145377032</v>
      </c>
    </row>
    <row r="19">
      <c r="A19" s="37" t="n">
        <v>15</v>
      </c>
      <c r="B19" s="37" t="inlineStr">
        <is>
          <t>Pałac Rozalin</t>
        </is>
      </c>
      <c r="C19" s="38" t="n">
        <v>0.15</v>
      </c>
      <c r="D19" s="39" t="n">
        <v>4040.9</v>
      </c>
      <c r="E19" s="39" t="n">
        <v>2429.970759394091</v>
      </c>
      <c r="F19" s="39" t="n">
        <v>1610.929240605909</v>
      </c>
      <c r="G19" s="38" t="n">
        <v>0.398656052019577</v>
      </c>
      <c r="H19" s="39" t="n">
        <v>2894.7</v>
      </c>
      <c r="I19" s="38" t="n">
        <v>0.395965039555049</v>
      </c>
      <c r="J19" s="39" t="n">
        <v>5448.16</v>
      </c>
      <c r="K19" s="38" t="n">
        <v>-0.2583000499251123</v>
      </c>
    </row>
    <row r="20">
      <c r="A20" s="40" t="n">
        <v>16</v>
      </c>
      <c r="B20" s="40" t="inlineStr">
        <is>
          <t>Camastra</t>
        </is>
      </c>
      <c r="C20" s="41" t="n">
        <v>0.15</v>
      </c>
      <c r="D20" s="42" t="n">
        <v>4029.92</v>
      </c>
      <c r="E20" s="42" t="n">
        <v>2517.193306212989</v>
      </c>
      <c r="F20" s="42" t="n">
        <v>1512.726693787011</v>
      </c>
      <c r="G20" s="41" t="n">
        <v>0.3753738768479303</v>
      </c>
      <c r="H20" s="42" t="n">
        <v>0</v>
      </c>
      <c r="I20" s="41" t="n">
        <v>0</v>
      </c>
      <c r="J20" s="42" t="n">
        <v>5329.757272727273</v>
      </c>
      <c r="K20" s="41" t="n">
        <v>-0.2438830149692984</v>
      </c>
    </row>
    <row r="21">
      <c r="A21" s="37" t="n">
        <v>17</v>
      </c>
      <c r="B21" s="37" t="inlineStr">
        <is>
          <t>SZPITAL OTWOCK</t>
        </is>
      </c>
      <c r="C21" s="38" t="n">
        <v>0.2</v>
      </c>
      <c r="D21" s="39" t="n">
        <v>3845.61</v>
      </c>
      <c r="E21" s="39" t="n">
        <v>2413.368452762313</v>
      </c>
      <c r="F21" s="39" t="n">
        <v>1432.241547237687</v>
      </c>
      <c r="G21" s="38" t="n">
        <v>0.372435464656501</v>
      </c>
      <c r="H21" s="39" t="n">
        <v>4974.88</v>
      </c>
      <c r="I21" s="38" t="n">
        <v>-0.2269944199659087</v>
      </c>
      <c r="J21" s="39" t="n">
        <v>3651.7825</v>
      </c>
      <c r="K21" s="38" t="n">
        <v>0.05307750393129926</v>
      </c>
    </row>
    <row r="22">
      <c r="A22" s="40" t="n">
        <v>18</v>
      </c>
      <c r="B22" s="40" t="inlineStr">
        <is>
          <t xml:space="preserve">SZPITAL NA MADALIŃSKIEGO  </t>
        </is>
      </c>
      <c r="C22" s="41" t="n">
        <v>0.2</v>
      </c>
      <c r="D22" s="42" t="n">
        <v>3776.5</v>
      </c>
      <c r="E22" s="42" t="n">
        <v>2750.503592449587</v>
      </c>
      <c r="F22" s="42" t="n">
        <v>1025.996407550413</v>
      </c>
      <c r="G22" s="41" t="n">
        <v>0.271679175837525</v>
      </c>
      <c r="H22" s="42" t="n">
        <v>4515.07</v>
      </c>
      <c r="I22" s="41" t="n">
        <v>-0.1635788592424923</v>
      </c>
      <c r="J22" s="42" t="n">
        <v>4262.5</v>
      </c>
      <c r="K22" s="41" t="n">
        <v>-0.1140175953079179</v>
      </c>
    </row>
    <row r="23">
      <c r="A23" s="37" t="n">
        <v>19</v>
      </c>
      <c r="B23" s="37" t="inlineStr">
        <is>
          <t>Kontakt Wine</t>
        </is>
      </c>
      <c r="C23" s="38" t="n">
        <v>0.15</v>
      </c>
      <c r="D23" s="39" t="n">
        <v>3505.92</v>
      </c>
      <c r="E23" s="39" t="n">
        <v>2143.68366308284</v>
      </c>
      <c r="F23" s="39" t="n">
        <v>1362.23633691716</v>
      </c>
      <c r="G23" s="38" t="n">
        <v>0.3885531720396244</v>
      </c>
      <c r="H23" s="39" t="n">
        <v>5892.27</v>
      </c>
      <c r="I23" s="38" t="n">
        <v>-0.4049967160364342</v>
      </c>
      <c r="J23" s="39" t="n">
        <v>4934.719999999999</v>
      </c>
      <c r="K23" s="38" t="n">
        <v>-0.2895402373386939</v>
      </c>
    </row>
    <row r="24">
      <c r="A24" s="40" t="n">
        <v>20</v>
      </c>
      <c r="B24" s="40" t="inlineStr">
        <is>
          <t>Restauracja Nolita</t>
        </is>
      </c>
      <c r="C24" s="41" t="n">
        <v>0.15</v>
      </c>
      <c r="D24" s="42" t="n">
        <v>3081.9</v>
      </c>
      <c r="E24" s="42" t="n">
        <v>1769.169950129686</v>
      </c>
      <c r="F24" s="42" t="n">
        <v>1312.730049870314</v>
      </c>
      <c r="G24" s="41" t="n">
        <v>0.4259482948409469</v>
      </c>
      <c r="H24" s="42" t="n">
        <v>3924.09</v>
      </c>
      <c r="I24" s="41" t="n">
        <v>-0.2146204597753874</v>
      </c>
      <c r="J24" s="42" t="n">
        <v>3642.985</v>
      </c>
      <c r="K24" s="41" t="n">
        <v>-0.1540179276060703</v>
      </c>
    </row>
    <row r="25">
      <c r="A25" s="37" t="n">
        <v>21</v>
      </c>
      <c r="B25" s="37" t="inlineStr">
        <is>
          <t>Grupa Cateringowa</t>
        </is>
      </c>
      <c r="C25" s="38" t="n">
        <v>0.2</v>
      </c>
      <c r="D25" s="39" t="n">
        <v>2624.83</v>
      </c>
      <c r="E25" s="39" t="n">
        <v>1647.591142620055</v>
      </c>
      <c r="F25" s="39" t="n">
        <v>977.2388573799449</v>
      </c>
      <c r="G25" s="38" t="n">
        <v>0.3723055806966337</v>
      </c>
      <c r="H25" s="39" t="n">
        <v>6883.69</v>
      </c>
      <c r="I25" s="38" t="n">
        <v>-0.6186885231612695</v>
      </c>
      <c r="J25" s="39" t="n">
        <v>6235.192727272727</v>
      </c>
      <c r="K25" s="38" t="n">
        <v>-0.5790298528353428</v>
      </c>
    </row>
    <row r="26">
      <c r="A26" s="40" t="n">
        <v>22</v>
      </c>
      <c r="B26" s="40" t="inlineStr">
        <is>
          <t>ARCHE HOTEL PUŁAWSKA</t>
        </is>
      </c>
      <c r="C26" s="41" t="n">
        <v>0.15</v>
      </c>
      <c r="D26" s="42" t="n">
        <v>2578.53</v>
      </c>
      <c r="E26" s="42" t="n">
        <v>1622.702168718037</v>
      </c>
      <c r="F26" s="42" t="n">
        <v>955.8278312819632</v>
      </c>
      <c r="G26" s="41" t="n">
        <v>0.3706871090435105</v>
      </c>
      <c r="H26" s="42" t="n">
        <v>5992.73</v>
      </c>
      <c r="I26" s="41" t="n">
        <v>-0.5697236484874172</v>
      </c>
      <c r="J26" s="42" t="n">
        <v>4681.489166666667</v>
      </c>
      <c r="K26" s="41" t="n">
        <v>-0.4492073124167933</v>
      </c>
    </row>
    <row r="27">
      <c r="A27" s="37" t="n">
        <v>23</v>
      </c>
      <c r="B27" s="37" t="inlineStr">
        <is>
          <t>Zoli Pizzeria</t>
        </is>
      </c>
      <c r="C27" s="38" t="n">
        <v>0.1</v>
      </c>
      <c r="D27" s="39" t="n">
        <v>2363.48</v>
      </c>
      <c r="E27" s="39" t="n">
        <v>1266.394079577955</v>
      </c>
      <c r="F27" s="39" t="n">
        <v>1097.085920422045</v>
      </c>
      <c r="G27" s="38" t="n">
        <v>0.4641824430170956</v>
      </c>
      <c r="H27" s="39" t="n">
        <v>5247.17</v>
      </c>
      <c r="I27" s="38" t="n">
        <v>-0.5495705304001967</v>
      </c>
      <c r="J27" s="39" t="n">
        <v>4089.280833333334</v>
      </c>
      <c r="K27" s="38" t="n">
        <v>-0.4220304018412366</v>
      </c>
    </row>
    <row r="28">
      <c r="A28" s="40" t="n">
        <v>24</v>
      </c>
      <c r="B28" s="40" t="inlineStr">
        <is>
          <t>PASTA FINIESTRA</t>
        </is>
      </c>
      <c r="C28" s="41" t="n">
        <v>0.3</v>
      </c>
      <c r="D28" s="42" t="n">
        <v>2219.13</v>
      </c>
      <c r="E28" s="42" t="n">
        <v>1492.687554265276</v>
      </c>
      <c r="F28" s="42" t="n">
        <v>726.4424457347241</v>
      </c>
      <c r="G28" s="41" t="n">
        <v>0.3273546145267398</v>
      </c>
      <c r="H28" s="42" t="n">
        <v>2237.18</v>
      </c>
      <c r="I28" s="41" t="n">
        <v>-0.008068192992964235</v>
      </c>
      <c r="J28" s="42" t="n">
        <v>2781.372727272727</v>
      </c>
      <c r="K28" s="41" t="n">
        <v>-0.2021457684400442</v>
      </c>
    </row>
    <row r="29">
      <c r="A29" s="37" t="n">
        <v>25</v>
      </c>
      <c r="B29" s="37" t="inlineStr">
        <is>
          <t>Street Polska 2 KASPRZAKA</t>
        </is>
      </c>
      <c r="C29" s="38" t="n">
        <v>0.2</v>
      </c>
      <c r="D29" s="39" t="n">
        <v>2173.43</v>
      </c>
      <c r="E29" s="39" t="n">
        <v>1339.186925260695</v>
      </c>
      <c r="F29" s="39" t="n">
        <v>834.2430747393048</v>
      </c>
      <c r="G29" s="38" t="n">
        <v>0.3838371029843634</v>
      </c>
      <c r="H29" s="39" t="n">
        <v>8145.52</v>
      </c>
      <c r="I29" s="38" t="n">
        <v>-0.7331748003810683</v>
      </c>
      <c r="J29" s="39" t="n">
        <v>4407.225</v>
      </c>
      <c r="K29" s="38" t="n">
        <v>-0.506848413684348</v>
      </c>
    </row>
    <row r="30">
      <c r="A30" s="40" t="n">
        <v>26</v>
      </c>
      <c r="B30" s="40" t="inlineStr">
        <is>
          <t>Stary Dom</t>
        </is>
      </c>
      <c r="C30" s="41" t="n">
        <v>0.1</v>
      </c>
      <c r="D30" s="42" t="n">
        <v>1805.64</v>
      </c>
      <c r="E30" s="42" t="n">
        <v>942.4309801692042</v>
      </c>
      <c r="F30" s="42" t="n">
        <v>863.2090198307959</v>
      </c>
      <c r="G30" s="41" t="n">
        <v>0.4780626369768037</v>
      </c>
      <c r="H30" s="42" t="n">
        <v>4534.96</v>
      </c>
      <c r="I30" s="41" t="n">
        <v>-0.601839928025826</v>
      </c>
      <c r="J30" s="42" t="n">
        <v>3422.236666666666</v>
      </c>
      <c r="K30" s="41" t="n">
        <v>-0.4723801490448253</v>
      </c>
    </row>
    <row r="31">
      <c r="A31" s="37" t="n">
        <v>27</v>
      </c>
      <c r="B31" s="37" t="inlineStr">
        <is>
          <t>Sushi Today by Sakana</t>
        </is>
      </c>
      <c r="C31" s="38" t="n">
        <v>0.2</v>
      </c>
      <c r="D31" s="39" t="n">
        <v>1422.76</v>
      </c>
      <c r="E31" s="39" t="n">
        <v>908.4134883751044</v>
      </c>
      <c r="F31" s="39" t="n">
        <v>514.3465116248956</v>
      </c>
      <c r="G31" s="38" t="n">
        <v>0.3615131938098454</v>
      </c>
      <c r="H31" s="39" t="n">
        <v>2640.51</v>
      </c>
      <c r="I31" s="38" t="n">
        <v>-0.4611798478324264</v>
      </c>
      <c r="J31" s="39" t="n">
        <v>2580.615555555556</v>
      </c>
      <c r="K31" s="38" t="n">
        <v>-0.4486741750676195</v>
      </c>
    </row>
    <row r="32">
      <c r="A32" s="40" t="n">
        <v>28</v>
      </c>
      <c r="B32" s="40" t="inlineStr">
        <is>
          <t>Hamra</t>
        </is>
      </c>
      <c r="C32" s="41" t="n">
        <v>0.3</v>
      </c>
      <c r="D32" s="42" t="n">
        <v>1073.54</v>
      </c>
      <c r="E32" s="42" t="n">
        <v>781.6697107117983</v>
      </c>
      <c r="F32" s="42" t="n">
        <v>291.8702892882017</v>
      </c>
      <c r="G32" s="41" t="n">
        <v>0.2718764920619648</v>
      </c>
      <c r="H32" s="42" t="n">
        <v>2009.89</v>
      </c>
      <c r="I32" s="41" t="n">
        <v>-0.4658712665867287</v>
      </c>
      <c r="J32" s="42" t="n">
        <v>2069.313333333334</v>
      </c>
      <c r="K32" s="41" t="n">
        <v>-0.4812095477726911</v>
      </c>
    </row>
    <row r="33">
      <c r="A33" s="37" t="n">
        <v>29</v>
      </c>
      <c r="B33" s="37" t="inlineStr">
        <is>
          <t xml:space="preserve">Alegloria </t>
        </is>
      </c>
      <c r="C33" s="38" t="n">
        <v>0.18</v>
      </c>
      <c r="D33" s="39" t="n">
        <v>1035.27</v>
      </c>
      <c r="E33" s="39" t="n">
        <v>678.1792114687687</v>
      </c>
      <c r="F33" s="39" t="n">
        <v>357.0907885312313</v>
      </c>
      <c r="G33" s="38" t="n">
        <v>0.3449252741132567</v>
      </c>
      <c r="H33" s="39" t="n">
        <v>8533.33</v>
      </c>
      <c r="I33" s="38" t="n">
        <v>-0.8786792494840818</v>
      </c>
      <c r="J33" s="39" t="n">
        <v>6627.585</v>
      </c>
      <c r="K33" s="38" t="n">
        <v>-0.843793780087317</v>
      </c>
    </row>
    <row r="34">
      <c r="A34" s="40" t="n">
        <v>30</v>
      </c>
      <c r="B34" s="40" t="inlineStr">
        <is>
          <t>HANULKA</t>
        </is>
      </c>
      <c r="C34" s="41" t="n">
        <v>0.18</v>
      </c>
      <c r="D34" s="42" t="n">
        <v>793.3200000000001</v>
      </c>
      <c r="E34" s="42" t="n">
        <v>495.5283960190001</v>
      </c>
      <c r="F34" s="42" t="n">
        <v>297.7916039809999</v>
      </c>
      <c r="G34" s="41" t="n">
        <v>0.3753738768479301</v>
      </c>
      <c r="H34" s="42" t="n">
        <v>0</v>
      </c>
      <c r="I34" s="41" t="n">
        <v>0</v>
      </c>
      <c r="J34" s="42" t="n">
        <v>634.5166666666667</v>
      </c>
      <c r="K34" s="41" t="n">
        <v>0.2502744871424445</v>
      </c>
    </row>
    <row r="35">
      <c r="A35" s="37" t="n">
        <v>31</v>
      </c>
      <c r="B35" s="37" t="inlineStr">
        <is>
          <t>Street ONZ</t>
        </is>
      </c>
      <c r="C35" s="38" t="n">
        <v>0.15</v>
      </c>
      <c r="D35" s="39" t="n">
        <v>548.87</v>
      </c>
      <c r="E35" s="39" t="n">
        <v>342.8385402144766</v>
      </c>
      <c r="F35" s="39" t="n">
        <v>206.0314597855234</v>
      </c>
      <c r="G35" s="38" t="n">
        <v>0.3753738768479301</v>
      </c>
      <c r="H35" s="39" t="n">
        <v>0</v>
      </c>
      <c r="I35" s="38" t="n">
        <v>0</v>
      </c>
      <c r="J35" s="39" t="n">
        <v>1781.8</v>
      </c>
      <c r="K35" s="38" t="n">
        <v>-0.6919575709956224</v>
      </c>
    </row>
    <row r="36">
      <c r="A36" s="40" t="n">
        <v>32</v>
      </c>
      <c r="B36" s="40" t="inlineStr">
        <is>
          <t>Restauracja Wilanów</t>
        </is>
      </c>
      <c r="C36" s="41" t="n">
        <v>0.2</v>
      </c>
      <c r="D36" s="42" t="n">
        <v>413.85</v>
      </c>
      <c r="E36" s="42" t="n">
        <v>259.3223606334116</v>
      </c>
      <c r="F36" s="42" t="n">
        <v>154.5276393665884</v>
      </c>
      <c r="G36" s="41" t="n">
        <v>0.373390453948504</v>
      </c>
      <c r="H36" s="42" t="n">
        <v>6974.48</v>
      </c>
      <c r="I36" s="41" t="n">
        <v>-0.9406622429199022</v>
      </c>
      <c r="J36" s="42" t="n">
        <v>3985.193333333333</v>
      </c>
      <c r="K36" s="41" t="n">
        <v>-0.8961530933672812</v>
      </c>
    </row>
    <row r="37">
      <c r="A37" s="37" t="n">
        <v>33</v>
      </c>
      <c r="B37" s="37" t="inlineStr">
        <is>
          <t>Culture Cafe - Grzybowska</t>
        </is>
      </c>
      <c r="C37" s="38" t="n">
        <v>0.2</v>
      </c>
      <c r="D37" s="39" t="n">
        <v>403.82</v>
      </c>
      <c r="E37" s="39" t="n">
        <v>264.561488833825</v>
      </c>
      <c r="F37" s="39" t="n">
        <v>139.258511166175</v>
      </c>
      <c r="G37" s="38" t="n">
        <v>0.3448529324109132</v>
      </c>
      <c r="H37" s="39" t="n">
        <v>1084.92</v>
      </c>
      <c r="I37" s="38" t="n">
        <v>-0.6277882240165175</v>
      </c>
      <c r="J37" s="39" t="n">
        <v>787.3775000000001</v>
      </c>
      <c r="K37" s="38" t="n">
        <v>-0.4871329190890012</v>
      </c>
    </row>
    <row r="38">
      <c r="A38" s="43" t="n">
        <v>34</v>
      </c>
      <c r="B38" s="43" t="inlineStr">
        <is>
          <t>Solivoda - Pruszków</t>
        </is>
      </c>
      <c r="C38" s="44" t="n">
        <v>0.18</v>
      </c>
      <c r="D38" s="45" t="n">
        <v>0</v>
      </c>
      <c r="E38" s="45" t="n">
        <v>0</v>
      </c>
      <c r="F38" s="45" t="n">
        <v>0</v>
      </c>
      <c r="G38" s="44" t="n">
        <v>0</v>
      </c>
      <c r="H38" s="45" t="n">
        <v>0</v>
      </c>
      <c r="I38" s="44" t="n">
        <v>0</v>
      </c>
      <c r="J38" s="45" t="n">
        <v>11772.21</v>
      </c>
      <c r="K38" s="44" t="n">
        <v>-1</v>
      </c>
    </row>
    <row r="39">
      <c r="A39" s="43" t="n">
        <v>35</v>
      </c>
      <c r="B39" s="43" t="inlineStr">
        <is>
          <t>Przedszkole nr.2 `Tęczowe Przedszkole`</t>
        </is>
      </c>
      <c r="C39" s="44" t="n">
        <v>0.1</v>
      </c>
      <c r="D39" s="45" t="n">
        <v>0</v>
      </c>
      <c r="E39" s="45" t="n">
        <v>0</v>
      </c>
      <c r="F39" s="45" t="n">
        <v>0</v>
      </c>
      <c r="G39" s="44" t="n">
        <v>0</v>
      </c>
      <c r="H39" s="45" t="n">
        <v>3210.01</v>
      </c>
      <c r="I39" s="44" t="n">
        <v>-1</v>
      </c>
      <c r="J39" s="45" t="n">
        <v>1729.902222222222</v>
      </c>
      <c r="K39" s="44" t="n">
        <v>-1</v>
      </c>
    </row>
    <row r="40">
      <c r="A40" s="43" t="n">
        <v>36</v>
      </c>
      <c r="B40" s="43" t="inlineStr">
        <is>
          <t>POLKA</t>
        </is>
      </c>
      <c r="C40" s="44" t="n">
        <v>0.18</v>
      </c>
      <c r="D40" s="45" t="n">
        <v>0</v>
      </c>
      <c r="E40" s="45" t="n">
        <v>0</v>
      </c>
      <c r="F40" s="45" t="n">
        <v>0</v>
      </c>
      <c r="G40" s="44" t="n">
        <v>0</v>
      </c>
      <c r="H40" s="45" t="n">
        <v>0</v>
      </c>
      <c r="I40" s="44" t="n">
        <v>0</v>
      </c>
      <c r="J40" s="45" t="n">
        <v>3504.002</v>
      </c>
      <c r="K40" s="44" t="n">
        <v>-1</v>
      </c>
    </row>
    <row r="41">
      <c r="A41" s="46" t="n"/>
      <c r="B41" s="46" t="inlineStr">
        <is>
          <t>RAZEM</t>
        </is>
      </c>
      <c r="C41" s="47" t="n"/>
      <c r="D41" s="48" t="n">
        <v>127318.03</v>
      </c>
      <c r="E41" s="48" t="n">
        <v>78700.87417106415</v>
      </c>
      <c r="F41" s="48" t="n">
        <v>48617.15582893585</v>
      </c>
      <c r="G41" s="47" t="n">
        <v>0.381856017006671</v>
      </c>
      <c r="H41" s="48" t="n">
        <v>178908.71</v>
      </c>
      <c r="I41" s="47" t="n"/>
      <c r="J41" s="48" t="n"/>
      <c r="K41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51" t="inlineStr">
        <is>
          <t>STANDARD MAGDA - STYCZEŃ 2026</t>
        </is>
      </c>
    </row>
    <row r="2">
      <c r="A2" s="35" t="inlineStr">
        <is>
          <t>Aktywni: 36/43 | Sprzedaż: 92,361 zł | Zysk: 36,280 zł | Marża: 39.3%</t>
        </is>
      </c>
    </row>
    <row r="4">
      <c r="A4" s="52" t="inlineStr">
        <is>
          <t>Poz.</t>
        </is>
      </c>
      <c r="B4" s="52" t="inlineStr">
        <is>
          <t>Klient</t>
        </is>
      </c>
      <c r="C4" s="52" t="inlineStr">
        <is>
          <t>Rabat %</t>
        </is>
      </c>
      <c r="D4" s="52" t="inlineStr">
        <is>
          <t>Sprzedaż
Sty 26</t>
        </is>
      </c>
      <c r="E4" s="52" t="inlineStr">
        <is>
          <t>Koszt
Sty 26</t>
        </is>
      </c>
      <c r="F4" s="52" t="inlineStr">
        <is>
          <t>Zysk
Sty 26</t>
        </is>
      </c>
      <c r="G4" s="52" t="inlineStr">
        <is>
          <t>Marża</t>
        </is>
      </c>
      <c r="H4" s="52" t="inlineStr">
        <is>
          <t>Sprzedaż
Gru 25</t>
        </is>
      </c>
      <c r="I4" s="52" t="inlineStr">
        <is>
          <t>Zmiana
vs Gru 25</t>
        </is>
      </c>
      <c r="J4" s="52" t="inlineStr">
        <is>
          <t>Śr. mies.
2025</t>
        </is>
      </c>
      <c r="K4" s="52" t="inlineStr">
        <is>
          <t>Trend
vs średnia</t>
        </is>
      </c>
    </row>
    <row r="5">
      <c r="A5" s="37" t="n">
        <v>1</v>
      </c>
      <c r="B5" s="37" t="inlineStr">
        <is>
          <t>Japoński Sąsiad 2 CZAPELSKA</t>
        </is>
      </c>
      <c r="C5" s="38" t="n">
        <v>0.2</v>
      </c>
      <c r="D5" s="39" t="n">
        <v>19127.96</v>
      </c>
      <c r="E5" s="39" t="n">
        <v>10798.15135146826</v>
      </c>
      <c r="F5" s="39" t="n">
        <v>8329.80864853174</v>
      </c>
      <c r="G5" s="38" t="n">
        <v>0.4354781507558433</v>
      </c>
      <c r="H5" s="39" t="n">
        <v>2120.92</v>
      </c>
      <c r="I5" s="38" t="n">
        <v>8.018708862191879</v>
      </c>
      <c r="J5" s="39" t="n">
        <v>3052.399166666667</v>
      </c>
      <c r="K5" s="38" t="n">
        <v>5.266532964916395</v>
      </c>
    </row>
    <row r="6">
      <c r="A6" s="40" t="n">
        <v>2</v>
      </c>
      <c r="B6" s="40" t="inlineStr">
        <is>
          <t>Babcia Włoszka</t>
        </is>
      </c>
      <c r="C6" s="41" t="n">
        <v>0.2</v>
      </c>
      <c r="D6" s="42" t="n">
        <v>6757.17</v>
      </c>
      <c r="E6" s="42" t="n">
        <v>4156.103599986306</v>
      </c>
      <c r="F6" s="42" t="n">
        <v>2601.066400013694</v>
      </c>
      <c r="G6" s="41" t="n">
        <v>0.3849342846211793</v>
      </c>
      <c r="H6" s="42" t="n">
        <v>6181.850000000001</v>
      </c>
      <c r="I6" s="41" t="n">
        <v>0.09306599157210199</v>
      </c>
      <c r="J6" s="42" t="n">
        <v>5847.766666666666</v>
      </c>
      <c r="K6" s="41" t="n">
        <v>0.1555129308624946</v>
      </c>
    </row>
    <row r="7">
      <c r="A7" s="37" t="n">
        <v>3</v>
      </c>
      <c r="B7" s="37" t="inlineStr">
        <is>
          <t>La Casa Bistro &amp; Cafe</t>
        </is>
      </c>
      <c r="C7" s="38" t="n">
        <v>0.2</v>
      </c>
      <c r="D7" s="39" t="n">
        <v>5406.76</v>
      </c>
      <c r="E7" s="39" t="n">
        <v>3769.832644907742</v>
      </c>
      <c r="F7" s="39" t="n">
        <v>1636.927355092258</v>
      </c>
      <c r="G7" s="38" t="n">
        <v>0.3027556901161246</v>
      </c>
      <c r="H7" s="39" t="n">
        <v>4013.25</v>
      </c>
      <c r="I7" s="38" t="n">
        <v>0.3472273095371582</v>
      </c>
      <c r="J7" s="39" t="n">
        <v>3008.083333333333</v>
      </c>
      <c r="K7" s="38" t="n">
        <v>0.7974103111061861</v>
      </c>
    </row>
    <row r="8">
      <c r="A8" s="40" t="n">
        <v>4</v>
      </c>
      <c r="B8" s="40" t="inlineStr">
        <is>
          <t>Park Cafe 2</t>
        </is>
      </c>
      <c r="C8" s="41" t="n">
        <v>0.2</v>
      </c>
      <c r="D8" s="42" t="n">
        <v>3967.97</v>
      </c>
      <c r="E8" s="42" t="n">
        <v>2690.602262402879</v>
      </c>
      <c r="F8" s="42" t="n">
        <v>1277.367737597121</v>
      </c>
      <c r="G8" s="41" t="n">
        <v>0.3219197064486679</v>
      </c>
      <c r="H8" s="42" t="n">
        <v>10904.74</v>
      </c>
      <c r="I8" s="41" t="n">
        <v>-0.6361242909046892</v>
      </c>
      <c r="J8" s="42" t="n">
        <v>2101.005454545455</v>
      </c>
      <c r="K8" s="41" t="n">
        <v>0.8886052824924515</v>
      </c>
    </row>
    <row r="9">
      <c r="A9" s="37" t="n">
        <v>5</v>
      </c>
      <c r="B9" s="37" t="inlineStr">
        <is>
          <t>Krzysztof Cieślak</t>
        </is>
      </c>
      <c r="C9" s="38" t="n">
        <v>0.08</v>
      </c>
      <c r="D9" s="39" t="n">
        <v>3942.96</v>
      </c>
      <c r="E9" s="39" t="n">
        <v>2088.568232519517</v>
      </c>
      <c r="F9" s="39" t="n">
        <v>1854.391767480483</v>
      </c>
      <c r="G9" s="38" t="n">
        <v>0.4703044838092405</v>
      </c>
      <c r="H9" s="39" t="n">
        <v>3379.68</v>
      </c>
      <c r="I9" s="38" t="n">
        <v>0.1666666666666667</v>
      </c>
      <c r="J9" s="39" t="n">
        <v>3362.651428571428</v>
      </c>
      <c r="K9" s="38" t="n">
        <v>0.172574702955491</v>
      </c>
    </row>
    <row r="10">
      <c r="A10" s="40" t="n">
        <v>6</v>
      </c>
      <c r="B10" s="40" t="inlineStr">
        <is>
          <t>Gmina Belsk</t>
        </is>
      </c>
      <c r="C10" s="41" t="n">
        <v>0.15</v>
      </c>
      <c r="D10" s="42" t="n">
        <v>3611.61</v>
      </c>
      <c r="E10" s="42" t="n">
        <v>2255.905952637247</v>
      </c>
      <c r="F10" s="42" t="n">
        <v>1355.704047362753</v>
      </c>
      <c r="G10" s="41" t="n">
        <v>0.3753738768479302</v>
      </c>
      <c r="H10" s="42" t="n">
        <v>0</v>
      </c>
      <c r="I10" s="41" t="n">
        <v>0</v>
      </c>
      <c r="J10" s="42" t="n">
        <v>766.5533333333333</v>
      </c>
      <c r="K10" s="41" t="n">
        <v>3.711492133619753</v>
      </c>
    </row>
    <row r="11">
      <c r="A11" s="37" t="n">
        <v>7</v>
      </c>
      <c r="B11" s="37" t="inlineStr">
        <is>
          <t>PADRON</t>
        </is>
      </c>
      <c r="C11" s="38" t="n">
        <v>0.18</v>
      </c>
      <c r="D11" s="39" t="n">
        <v>3198.34</v>
      </c>
      <c r="E11" s="39" t="n">
        <v>2254.058909169288</v>
      </c>
      <c r="F11" s="39" t="n">
        <v>944.2810908307119</v>
      </c>
      <c r="G11" s="38" t="n">
        <v>0.29524099715187</v>
      </c>
      <c r="H11" s="39" t="n">
        <v>5018.190000000001</v>
      </c>
      <c r="I11" s="38" t="n">
        <v>-0.3626506768376647</v>
      </c>
      <c r="J11" s="39" t="n">
        <v>3373.03625</v>
      </c>
      <c r="K11" s="38" t="n">
        <v>-0.05179198711546606</v>
      </c>
    </row>
    <row r="12">
      <c r="A12" s="40" t="n">
        <v>8</v>
      </c>
      <c r="B12" s="40" t="inlineStr">
        <is>
          <t>PROSUSHI BROWARY</t>
        </is>
      </c>
      <c r="C12" s="41" t="n">
        <v>0.15</v>
      </c>
      <c r="D12" s="42" t="n">
        <v>3061.79</v>
      </c>
      <c r="E12" s="42" t="n">
        <v>1798.223204576136</v>
      </c>
      <c r="F12" s="42" t="n">
        <v>1263.566795423864</v>
      </c>
      <c r="G12" s="41" t="n">
        <v>0.4126889157727552</v>
      </c>
      <c r="H12" s="42" t="n">
        <v>4524.99</v>
      </c>
      <c r="I12" s="41" t="n">
        <v>-0.3233598306294599</v>
      </c>
      <c r="J12" s="42" t="n">
        <v>2796.423333333334</v>
      </c>
      <c r="K12" s="41" t="n">
        <v>0.09489502662329367</v>
      </c>
    </row>
    <row r="13">
      <c r="A13" s="37" t="n">
        <v>9</v>
      </c>
      <c r="B13" s="37" t="inlineStr">
        <is>
          <t>Shiso Sushi</t>
        </is>
      </c>
      <c r="C13" s="38" t="n">
        <v>0.15</v>
      </c>
      <c r="D13" s="39" t="n">
        <v>2889.43</v>
      </c>
      <c r="E13" s="39" t="n">
        <v>1681.024009747973</v>
      </c>
      <c r="F13" s="39" t="n">
        <v>1208.405990252027</v>
      </c>
      <c r="G13" s="38" t="n">
        <v>0.4182160461585943</v>
      </c>
      <c r="H13" s="39" t="n">
        <v>4003.32</v>
      </c>
      <c r="I13" s="38" t="n">
        <v>-0.2782415595056104</v>
      </c>
      <c r="J13" s="39" t="n">
        <v>3103.170833333334</v>
      </c>
      <c r="K13" s="38" t="n">
        <v>-0.06887820388017107</v>
      </c>
    </row>
    <row r="14">
      <c r="A14" s="40" t="n">
        <v>10</v>
      </c>
      <c r="B14" s="40" t="inlineStr">
        <is>
          <t>Hoshi Sushi Mszczonów</t>
        </is>
      </c>
      <c r="C14" s="41" t="n">
        <v>0.1</v>
      </c>
      <c r="D14" s="42" t="n">
        <v>2504.92</v>
      </c>
      <c r="E14" s="42" t="n">
        <v>1544.958735808703</v>
      </c>
      <c r="F14" s="42" t="n">
        <v>959.961264191297</v>
      </c>
      <c r="G14" s="41" t="n">
        <v>0.3832303084295295</v>
      </c>
      <c r="H14" s="42" t="n">
        <v>1920.52</v>
      </c>
      <c r="I14" s="41" t="n">
        <v>0.3042925874242393</v>
      </c>
      <c r="J14" s="42" t="n">
        <v>1248.831</v>
      </c>
      <c r="K14" s="41" t="n">
        <v>1.005811835228306</v>
      </c>
    </row>
    <row r="15">
      <c r="A15" s="37" t="n">
        <v>11</v>
      </c>
      <c r="B15" s="37" t="inlineStr">
        <is>
          <t>Mazurkas</t>
        </is>
      </c>
      <c r="C15" s="38" t="n">
        <v>0.1</v>
      </c>
      <c r="D15" s="39" t="n">
        <v>2497.48</v>
      </c>
      <c r="E15" s="39" t="n">
        <v>1670.237532954335</v>
      </c>
      <c r="F15" s="39" t="n">
        <v>827.2424670456651</v>
      </c>
      <c r="G15" s="38" t="n">
        <v>0.331230867532739</v>
      </c>
      <c r="H15" s="39" t="n">
        <v>1153.85</v>
      </c>
      <c r="I15" s="38" t="n">
        <v>1.164475451748494</v>
      </c>
      <c r="J15" s="39" t="n">
        <v>2142.703636363636</v>
      </c>
      <c r="K15" s="38" t="n">
        <v>0.1655741641613358</v>
      </c>
    </row>
    <row r="16">
      <c r="A16" s="40" t="n">
        <v>12</v>
      </c>
      <c r="B16" s="40" t="inlineStr">
        <is>
          <t>Seafood House - SEABREEZE</t>
        </is>
      </c>
      <c r="C16" s="41" t="n">
        <v>0.1</v>
      </c>
      <c r="D16" s="42" t="n">
        <v>2484.75</v>
      </c>
      <c r="E16" s="42" t="n">
        <v>1363.468721220127</v>
      </c>
      <c r="F16" s="42" t="n">
        <v>1121.281278779873</v>
      </c>
      <c r="G16" s="41" t="n">
        <v>0.4512652294113585</v>
      </c>
      <c r="H16" s="42" t="n">
        <v>5454.820000000001</v>
      </c>
      <c r="I16" s="41" t="n">
        <v>-0.5444854275668125</v>
      </c>
      <c r="J16" s="42" t="n">
        <v>4093.87</v>
      </c>
      <c r="K16" s="41" t="n">
        <v>-0.3930559592756976</v>
      </c>
    </row>
    <row r="17">
      <c r="A17" s="37" t="n">
        <v>13</v>
      </c>
      <c r="B17" s="37" t="inlineStr">
        <is>
          <t>VIVA TANGO</t>
        </is>
      </c>
      <c r="C17" s="38" t="n">
        <v>0.1</v>
      </c>
      <c r="D17" s="39" t="n">
        <v>2472.07</v>
      </c>
      <c r="E17" s="39" t="n">
        <v>1353.323660963926</v>
      </c>
      <c r="F17" s="39" t="n">
        <v>1118.746339036074</v>
      </c>
      <c r="G17" s="38" t="n">
        <v>0.4525544742001942</v>
      </c>
      <c r="H17" s="39" t="n">
        <v>5148.28</v>
      </c>
      <c r="I17" s="38" t="n">
        <v>-0.5198260389877783</v>
      </c>
      <c r="J17" s="39" t="n">
        <v>2984.358333333333</v>
      </c>
      <c r="K17" s="38" t="n">
        <v>-0.1716577823820306</v>
      </c>
    </row>
    <row r="18">
      <c r="A18" s="40" t="n">
        <v>14</v>
      </c>
      <c r="B18" s="40" t="inlineStr">
        <is>
          <t>PROSUSHI</t>
        </is>
      </c>
      <c r="C18" s="41" t="n">
        <v>0.15</v>
      </c>
      <c r="D18" s="42" t="n">
        <v>2410.2</v>
      </c>
      <c r="E18" s="42" t="n">
        <v>1429.891863200357</v>
      </c>
      <c r="F18" s="42" t="n">
        <v>980.3081367996429</v>
      </c>
      <c r="G18" s="41" t="n">
        <v>0.4067331079576977</v>
      </c>
      <c r="H18" s="42" t="n">
        <v>3870.17</v>
      </c>
      <c r="I18" s="41" t="n">
        <v>-0.377236658854779</v>
      </c>
      <c r="J18" s="42" t="n">
        <v>4213.869090909091</v>
      </c>
      <c r="K18" s="41" t="n">
        <v>-0.4280315909196817</v>
      </c>
    </row>
    <row r="19">
      <c r="A19" s="37" t="n">
        <v>15</v>
      </c>
      <c r="B19" s="37" t="inlineStr">
        <is>
          <t>U Barssa</t>
        </is>
      </c>
      <c r="C19" s="38" t="n">
        <v>0.15</v>
      </c>
      <c r="D19" s="39" t="n">
        <v>2362.75</v>
      </c>
      <c r="E19" s="39" t="n">
        <v>1386.36487899993</v>
      </c>
      <c r="F19" s="39" t="n">
        <v>976.3851210000701</v>
      </c>
      <c r="G19" s="38" t="n">
        <v>0.4132409780975855</v>
      </c>
      <c r="H19" s="39" t="n">
        <v>4422.940000000001</v>
      </c>
      <c r="I19" s="38" t="n">
        <v>-0.4657965063961982</v>
      </c>
      <c r="J19" s="39" t="n">
        <v>3263.79</v>
      </c>
      <c r="K19" s="38" t="n">
        <v>-0.2760716835335608</v>
      </c>
    </row>
    <row r="20">
      <c r="A20" s="40" t="n">
        <v>16</v>
      </c>
      <c r="B20" s="40" t="inlineStr">
        <is>
          <t>Japoński Sąsiad BANDERII</t>
        </is>
      </c>
      <c r="C20" s="41" t="n">
        <v>0.2</v>
      </c>
      <c r="D20" s="42" t="n">
        <v>2348.35</v>
      </c>
      <c r="E20" s="42" t="n">
        <v>1309.915301595906</v>
      </c>
      <c r="F20" s="42" t="n">
        <v>1038.434698404094</v>
      </c>
      <c r="G20" s="41" t="n">
        <v>0.4421975848591965</v>
      </c>
      <c r="H20" s="42" t="n">
        <v>2612.24</v>
      </c>
      <c r="I20" s="41" t="n">
        <v>-0.1010205800385875</v>
      </c>
      <c r="J20" s="42" t="n">
        <v>1888.593333333333</v>
      </c>
      <c r="K20" s="41" t="n">
        <v>0.2434386792286322</v>
      </c>
    </row>
    <row r="21">
      <c r="A21" s="37" t="n">
        <v>17</v>
      </c>
      <c r="B21" s="37" t="inlineStr">
        <is>
          <t>Steak Dolna 41</t>
        </is>
      </c>
      <c r="C21" s="38" t="n">
        <v>0.1</v>
      </c>
      <c r="D21" s="39" t="n">
        <v>2278.21</v>
      </c>
      <c r="E21" s="39" t="n">
        <v>1392.68600626937</v>
      </c>
      <c r="F21" s="39" t="n">
        <v>885.5239937306301</v>
      </c>
      <c r="G21" s="38" t="n">
        <v>0.3886928745509106</v>
      </c>
      <c r="H21" s="39" t="n">
        <v>1868.44</v>
      </c>
      <c r="I21" s="38" t="n">
        <v>0.2193112971248742</v>
      </c>
      <c r="J21" s="39" t="n">
        <v>2024.418</v>
      </c>
      <c r="K21" s="38" t="n">
        <v>0.1253654136645692</v>
      </c>
    </row>
    <row r="22">
      <c r="A22" s="40" t="n">
        <v>18</v>
      </c>
      <c r="B22" s="40" t="inlineStr">
        <is>
          <t>Negroni Centrale</t>
        </is>
      </c>
      <c r="C22" s="41" t="n">
        <v>0.18</v>
      </c>
      <c r="D22" s="42" t="n">
        <v>2242.1</v>
      </c>
      <c r="E22" s="42" t="n">
        <v>1395.181990064396</v>
      </c>
      <c r="F22" s="42" t="n">
        <v>846.918009935604</v>
      </c>
      <c r="G22" s="41" t="n">
        <v>0.3777342714132305</v>
      </c>
      <c r="H22" s="42" t="n">
        <v>3470.54</v>
      </c>
      <c r="I22" s="41" t="n">
        <v>-0.3539622076103431</v>
      </c>
      <c r="J22" s="42" t="n">
        <v>1850.463333333333</v>
      </c>
      <c r="K22" s="41" t="n">
        <v>0.211642489538656</v>
      </c>
    </row>
    <row r="23">
      <c r="A23" s="37" t="n">
        <v>19</v>
      </c>
      <c r="B23" s="37" t="inlineStr">
        <is>
          <t>ZPR Casino 2</t>
        </is>
      </c>
      <c r="C23" s="38" t="n">
        <v>0.1</v>
      </c>
      <c r="D23" s="39" t="n">
        <v>2142.08</v>
      </c>
      <c r="E23" s="39" t="n">
        <v>1132.144441592205</v>
      </c>
      <c r="F23" s="39" t="n">
        <v>1009.935558407795</v>
      </c>
      <c r="G23" s="38" t="n">
        <v>0.4714742485844576</v>
      </c>
      <c r="H23" s="39" t="n">
        <v>2619.99</v>
      </c>
      <c r="I23" s="38" t="n">
        <v>-0.1824090931644777</v>
      </c>
      <c r="J23" s="39" t="n">
        <v>2088.38</v>
      </c>
      <c r="K23" s="38" t="n">
        <v>0.02571371110621621</v>
      </c>
    </row>
    <row r="24">
      <c r="A24" s="40" t="n">
        <v>20</v>
      </c>
      <c r="B24" s="40" t="inlineStr">
        <is>
          <t>EL PATIO</t>
        </is>
      </c>
      <c r="C24" s="41" t="n">
        <v>0.2</v>
      </c>
      <c r="D24" s="42" t="n">
        <v>2083.11</v>
      </c>
      <c r="E24" s="42" t="n">
        <v>1594.763368482893</v>
      </c>
      <c r="F24" s="42" t="n">
        <v>488.3466315171072</v>
      </c>
      <c r="G24" s="41" t="n">
        <v>0.2344315141865322</v>
      </c>
      <c r="H24" s="42" t="n">
        <v>2660.62</v>
      </c>
      <c r="I24" s="41" t="n">
        <v>-0.2170584299900022</v>
      </c>
      <c r="J24" s="42" t="n">
        <v>2089.372</v>
      </c>
      <c r="K24" s="41" t="n">
        <v>-0.002997072804651214</v>
      </c>
    </row>
    <row r="25">
      <c r="A25" s="37" t="n">
        <v>21</v>
      </c>
      <c r="B25" s="37" t="inlineStr">
        <is>
          <t>Chocobon - CATERING</t>
        </is>
      </c>
      <c r="C25" s="38" t="n">
        <v>0.3</v>
      </c>
      <c r="D25" s="39" t="n">
        <v>1815.29</v>
      </c>
      <c r="E25" s="39" t="n">
        <v>1244.036966934835</v>
      </c>
      <c r="F25" s="39" t="n">
        <v>571.253033065165</v>
      </c>
      <c r="G25" s="38" t="n">
        <v>0.314689682125261</v>
      </c>
      <c r="H25" s="39" t="n">
        <v>2386.96</v>
      </c>
      <c r="I25" s="38" t="n">
        <v>-0.2394971009149714</v>
      </c>
      <c r="J25" s="39" t="n">
        <v>3578.78090909091</v>
      </c>
      <c r="K25" s="38" t="n">
        <v>-0.4927630257027597</v>
      </c>
    </row>
    <row r="26">
      <c r="A26" s="40" t="n">
        <v>22</v>
      </c>
      <c r="B26" s="40" t="inlineStr">
        <is>
          <t>LIMBA</t>
        </is>
      </c>
      <c r="C26" s="41" t="n">
        <v>0.1</v>
      </c>
      <c r="D26" s="42" t="n">
        <v>1504.84</v>
      </c>
      <c r="E26" s="42" t="n">
        <v>897.4145550342214</v>
      </c>
      <c r="F26" s="42" t="n">
        <v>607.4254449657785</v>
      </c>
      <c r="G26" s="41" t="n">
        <v>0.4036478595503699</v>
      </c>
      <c r="H26" s="42" t="n">
        <v>880.54</v>
      </c>
      <c r="I26" s="41" t="n">
        <v>0.7089967519930951</v>
      </c>
      <c r="J26" s="42" t="n">
        <v>2162.626363636364</v>
      </c>
      <c r="K26" s="41" t="n">
        <v>-0.304160891912149</v>
      </c>
    </row>
    <row r="27">
      <c r="A27" s="37" t="n">
        <v>23</v>
      </c>
      <c r="B27" s="37" t="inlineStr">
        <is>
          <t>IKI Izakaya</t>
        </is>
      </c>
      <c r="C27" s="38" t="n">
        <v>0.15</v>
      </c>
      <c r="D27" s="39" t="n">
        <v>1264.47</v>
      </c>
      <c r="E27" s="39" t="n">
        <v>724.8363757106438</v>
      </c>
      <c r="F27" s="39" t="n">
        <v>539.6336242893562</v>
      </c>
      <c r="G27" s="38" t="n">
        <v>0.4267666487060636</v>
      </c>
      <c r="H27" s="39" t="n">
        <v>1467.55</v>
      </c>
      <c r="I27" s="38" t="n">
        <v>-0.1383802936867568</v>
      </c>
      <c r="J27" s="39" t="n">
        <v>1291.14</v>
      </c>
      <c r="K27" s="38" t="n">
        <v>-0.0206561643199034</v>
      </c>
    </row>
    <row r="28">
      <c r="A28" s="40" t="n">
        <v>24</v>
      </c>
      <c r="B28" s="40" t="inlineStr">
        <is>
          <t>TOSCA</t>
        </is>
      </c>
      <c r="C28" s="41" t="n">
        <v>0.2</v>
      </c>
      <c r="D28" s="42" t="n">
        <v>1252.1</v>
      </c>
      <c r="E28" s="42" t="n">
        <v>782.0943687987066</v>
      </c>
      <c r="F28" s="42" t="n">
        <v>470.0056312012933</v>
      </c>
      <c r="G28" s="41" t="n">
        <v>0.3753738768479302</v>
      </c>
      <c r="H28" s="42" t="n">
        <v>0</v>
      </c>
      <c r="I28" s="41" t="n">
        <v>0</v>
      </c>
      <c r="J28" s="42" t="n">
        <v>1262.99</v>
      </c>
      <c r="K28" s="41" t="n">
        <v>-0.008622396060143074</v>
      </c>
    </row>
    <row r="29">
      <c r="A29" s="37" t="n">
        <v>25</v>
      </c>
      <c r="B29" s="37" t="inlineStr">
        <is>
          <t>Kuchnia Warszawska</t>
        </is>
      </c>
      <c r="C29" s="38" t="n">
        <v>0.18</v>
      </c>
      <c r="D29" s="39" t="n">
        <v>1140.39</v>
      </c>
      <c r="E29" s="39" t="n">
        <v>695.5837051931913</v>
      </c>
      <c r="F29" s="39" t="n">
        <v>444.8062948068088</v>
      </c>
      <c r="G29" s="38" t="n">
        <v>0.3900475230463339</v>
      </c>
      <c r="H29" s="39" t="n">
        <v>2944.82</v>
      </c>
      <c r="I29" s="38" t="n">
        <v>-0.6127471288567722</v>
      </c>
      <c r="J29" s="39" t="n">
        <v>2421.515</v>
      </c>
      <c r="K29" s="38" t="n">
        <v>-0.5290592872643778</v>
      </c>
    </row>
    <row r="30">
      <c r="A30" s="40" t="n">
        <v>26</v>
      </c>
      <c r="B30" s="40" t="inlineStr">
        <is>
          <t>Panattoni Cafe</t>
        </is>
      </c>
      <c r="C30" s="41" t="n">
        <v>0.2</v>
      </c>
      <c r="D30" s="42" t="n">
        <v>1139.72</v>
      </c>
      <c r="E30" s="42" t="n">
        <v>727.2009759456799</v>
      </c>
      <c r="F30" s="42" t="n">
        <v>412.5190240543201</v>
      </c>
      <c r="G30" s="41" t="n">
        <v>0.361947692463342</v>
      </c>
      <c r="H30" s="42" t="n">
        <v>1580.82</v>
      </c>
      <c r="I30" s="41" t="n">
        <v>-0.279032400905859</v>
      </c>
      <c r="J30" s="42" t="n">
        <v>2177.018333333333</v>
      </c>
      <c r="K30" s="41" t="n">
        <v>-0.4764766182492721</v>
      </c>
    </row>
    <row r="31">
      <c r="A31" s="37" t="n">
        <v>27</v>
      </c>
      <c r="B31" s="37" t="inlineStr">
        <is>
          <t>Bistro Oliwa</t>
        </is>
      </c>
      <c r="C31" s="38" t="n">
        <v>0.1</v>
      </c>
      <c r="D31" s="39" t="n">
        <v>1026.16</v>
      </c>
      <c r="E31" s="39" t="n">
        <v>640.9663425337279</v>
      </c>
      <c r="F31" s="39" t="n">
        <v>385.1936574662722</v>
      </c>
      <c r="G31" s="38" t="n">
        <v>0.3753738768479303</v>
      </c>
      <c r="H31" s="39" t="n">
        <v>0</v>
      </c>
      <c r="I31" s="38" t="n">
        <v>0</v>
      </c>
      <c r="J31" s="39" t="n">
        <v>1239.11</v>
      </c>
      <c r="K31" s="38" t="n">
        <v>-0.1718572201015243</v>
      </c>
    </row>
    <row r="32">
      <c r="A32" s="40" t="n">
        <v>28</v>
      </c>
      <c r="B32" s="40" t="inlineStr">
        <is>
          <t>Sushi Zushi Żurawia</t>
        </is>
      </c>
      <c r="C32" s="41" t="n">
        <v>0.15</v>
      </c>
      <c r="D32" s="42" t="n">
        <v>808.72</v>
      </c>
      <c r="E32" s="42" t="n">
        <v>483.963955418117</v>
      </c>
      <c r="F32" s="42" t="n">
        <v>324.756044581883</v>
      </c>
      <c r="G32" s="41" t="n">
        <v>0.4015679649098365</v>
      </c>
      <c r="H32" s="42" t="n">
        <v>3698.7</v>
      </c>
      <c r="I32" s="41" t="n">
        <v>-0.7813502041257738</v>
      </c>
      <c r="J32" s="42" t="n">
        <v>2961.048333333334</v>
      </c>
      <c r="K32" s="41" t="n">
        <v>-0.7268805136018832</v>
      </c>
    </row>
    <row r="33">
      <c r="A33" s="37" t="n">
        <v>29</v>
      </c>
      <c r="B33" s="37" t="inlineStr">
        <is>
          <t>DOM OPIEKI `ANNA`</t>
        </is>
      </c>
      <c r="C33" s="38" t="n">
        <v>0.15</v>
      </c>
      <c r="D33" s="39" t="n">
        <v>800.3099999999999</v>
      </c>
      <c r="E33" s="39" t="n">
        <v>459.9708364401096</v>
      </c>
      <c r="F33" s="39" t="n">
        <v>340.3391635598903</v>
      </c>
      <c r="G33" s="38" t="n">
        <v>0.4252591665228354</v>
      </c>
      <c r="H33" s="39" t="n">
        <v>609.14</v>
      </c>
      <c r="I33" s="38" t="n">
        <v>0.313835899793151</v>
      </c>
      <c r="J33" s="39" t="n">
        <v>1160.544166666667</v>
      </c>
      <c r="K33" s="38" t="n">
        <v>-0.3104010833998133</v>
      </c>
    </row>
    <row r="34">
      <c r="A34" s="40" t="n">
        <v>30</v>
      </c>
      <c r="B34" s="40" t="inlineStr">
        <is>
          <t>Kuma no teburu</t>
        </is>
      </c>
      <c r="C34" s="41" t="n">
        <v>0.15</v>
      </c>
      <c r="D34" s="42" t="n">
        <v>756.53</v>
      </c>
      <c r="E34" s="42" t="n">
        <v>457.9638076006944</v>
      </c>
      <c r="F34" s="42" t="n">
        <v>298.5661923993056</v>
      </c>
      <c r="G34" s="41" t="n">
        <v>0.3946521517974245</v>
      </c>
      <c r="H34" s="42" t="n">
        <v>822.29</v>
      </c>
      <c r="I34" s="41" t="n">
        <v>-0.07997178610952339</v>
      </c>
      <c r="J34" s="42" t="n">
        <v>1345.35</v>
      </c>
      <c r="K34" s="41" t="n">
        <v>-0.4376704946668153</v>
      </c>
    </row>
    <row r="35">
      <c r="A35" s="37" t="n">
        <v>31</v>
      </c>
      <c r="B35" s="37" t="inlineStr">
        <is>
          <t>Chocobon</t>
        </is>
      </c>
      <c r="C35" s="38" t="n">
        <v>0.3</v>
      </c>
      <c r="D35" s="39" t="n">
        <v>694.67</v>
      </c>
      <c r="E35" s="39" t="n">
        <v>461.7304926030347</v>
      </c>
      <c r="F35" s="39" t="n">
        <v>232.9395073969653</v>
      </c>
      <c r="G35" s="38" t="n">
        <v>0.3353239774237627</v>
      </c>
      <c r="H35" s="39" t="n">
        <v>2348.69</v>
      </c>
      <c r="I35" s="38" t="n">
        <v>-0.7042308691227875</v>
      </c>
      <c r="J35" s="39" t="n">
        <v>2141.825</v>
      </c>
      <c r="K35" s="38" t="n">
        <v>-0.6756644450410281</v>
      </c>
    </row>
    <row r="36">
      <c r="A36" s="40" t="n">
        <v>32</v>
      </c>
      <c r="B36" s="40" t="inlineStr">
        <is>
          <t>Buns and bottles bar</t>
        </is>
      </c>
      <c r="C36" s="41" t="n">
        <v>0.15</v>
      </c>
      <c r="D36" s="42" t="n">
        <v>566.42</v>
      </c>
      <c r="E36" s="42" t="n">
        <v>303.9439417846552</v>
      </c>
      <c r="F36" s="42" t="n">
        <v>262.4760582153448</v>
      </c>
      <c r="G36" s="41" t="n">
        <v>0.4633947569212683</v>
      </c>
      <c r="H36" s="42" t="n">
        <v>912.5899999999999</v>
      </c>
      <c r="I36" s="41" t="n">
        <v>-0.3793269704905817</v>
      </c>
      <c r="J36" s="42" t="n">
        <v>816.2866666666665</v>
      </c>
      <c r="K36" s="41" t="n">
        <v>-0.3061016146288476</v>
      </c>
    </row>
    <row r="37">
      <c r="A37" s="37" t="n">
        <v>33</v>
      </c>
      <c r="B37" s="37" t="inlineStr">
        <is>
          <t>La Ros 2</t>
        </is>
      </c>
      <c r="C37" s="38" t="n">
        <v>0.15</v>
      </c>
      <c r="D37" s="39" t="n">
        <v>540.4</v>
      </c>
      <c r="E37" s="39" t="n">
        <v>323.8908950670217</v>
      </c>
      <c r="F37" s="39" t="n">
        <v>216.5091049329783</v>
      </c>
      <c r="G37" s="38" t="n">
        <v>0.400646012089153</v>
      </c>
      <c r="H37" s="39" t="n">
        <v>596.0599999999999</v>
      </c>
      <c r="I37" s="38" t="n">
        <v>-0.09337986108780991</v>
      </c>
      <c r="J37" s="39" t="n">
        <v>604.4640000000001</v>
      </c>
      <c r="K37" s="38" t="n">
        <v>-0.1059848063739116</v>
      </c>
    </row>
    <row r="38">
      <c r="A38" s="40" t="n">
        <v>34</v>
      </c>
      <c r="B38" s="40" t="inlineStr">
        <is>
          <t>Drukarnia GC</t>
        </is>
      </c>
      <c r="C38" s="41" t="n">
        <v>0.1</v>
      </c>
      <c r="D38" s="42" t="n">
        <v>499.2</v>
      </c>
      <c r="E38" s="42" t="n">
        <v>315.732159111038</v>
      </c>
      <c r="F38" s="42" t="n">
        <v>183.467840888962</v>
      </c>
      <c r="G38" s="41" t="n">
        <v>0.3675237197294912</v>
      </c>
      <c r="H38" s="42" t="n">
        <v>499.2</v>
      </c>
      <c r="I38" s="41" t="n">
        <v>0</v>
      </c>
      <c r="J38" s="42" t="n">
        <v>499.2</v>
      </c>
      <c r="K38" s="41" t="n">
        <v>-1.138690281666827e-16</v>
      </c>
    </row>
    <row r="39">
      <c r="A39" s="37" t="n">
        <v>35</v>
      </c>
      <c r="B39" s="37" t="inlineStr">
        <is>
          <t>BURGERLAB</t>
        </is>
      </c>
      <c r="C39" s="38" t="n">
        <v>0.15</v>
      </c>
      <c r="D39" s="39" t="n">
        <v>472.97</v>
      </c>
      <c r="E39" s="39" t="n">
        <v>318.7601685144836</v>
      </c>
      <c r="F39" s="39" t="n">
        <v>154.2098314855164</v>
      </c>
      <c r="G39" s="38" t="n">
        <v>0.3260456931423059</v>
      </c>
      <c r="H39" s="39" t="n">
        <v>542.76</v>
      </c>
      <c r="I39" s="38" t="n">
        <v>-0.1285835360011791</v>
      </c>
      <c r="J39" s="39" t="n">
        <v>2559.901</v>
      </c>
      <c r="K39" s="38" t="n">
        <v>-0.8152389486937189</v>
      </c>
    </row>
    <row r="40">
      <c r="A40" s="40" t="n">
        <v>36</v>
      </c>
      <c r="B40" s="40" t="inlineStr">
        <is>
          <t>Liban w Szklance</t>
        </is>
      </c>
      <c r="C40" s="41" t="n">
        <v>0.2</v>
      </c>
      <c r="D40" s="42" t="n">
        <v>288.51</v>
      </c>
      <c r="E40" s="42" t="n">
        <v>177.6666454288041</v>
      </c>
      <c r="F40" s="42" t="n">
        <v>110.8433545711959</v>
      </c>
      <c r="G40" s="41" t="n">
        <v>0.3841924181872237</v>
      </c>
      <c r="H40" s="42" t="n">
        <v>246.15</v>
      </c>
      <c r="I40" s="41" t="n">
        <v>0.1720901889092016</v>
      </c>
      <c r="J40" s="42" t="n">
        <v>984.135</v>
      </c>
      <c r="K40" s="41" t="n">
        <v>-0.7068390007468488</v>
      </c>
    </row>
    <row r="41">
      <c r="A41" s="43" t="n">
        <v>37</v>
      </c>
      <c r="B41" s="43" t="inlineStr">
        <is>
          <t>SHIN SUSHI  2</t>
        </is>
      </c>
      <c r="C41" s="44" t="n">
        <v>0.15</v>
      </c>
      <c r="D41" s="45" t="n">
        <v>0</v>
      </c>
      <c r="E41" s="45" t="n">
        <v>0</v>
      </c>
      <c r="F41" s="45" t="n">
        <v>0</v>
      </c>
      <c r="G41" s="44" t="n">
        <v>0</v>
      </c>
      <c r="H41" s="45" t="n">
        <v>1158.41</v>
      </c>
      <c r="I41" s="44" t="n">
        <v>-1</v>
      </c>
      <c r="J41" s="45" t="n">
        <v>1851.326666666667</v>
      </c>
      <c r="K41" s="44" t="n">
        <v>-1</v>
      </c>
    </row>
    <row r="42">
      <c r="A42" s="43" t="n">
        <v>38</v>
      </c>
      <c r="B42" s="43" t="inlineStr">
        <is>
          <t>MOSiR Poranki i Wieczory</t>
        </is>
      </c>
      <c r="C42" s="44" t="n">
        <v>0.2</v>
      </c>
      <c r="D42" s="45" t="n">
        <v>0</v>
      </c>
      <c r="E42" s="45" t="n">
        <v>0</v>
      </c>
      <c r="F42" s="45" t="n">
        <v>0</v>
      </c>
      <c r="G42" s="44" t="n">
        <v>0</v>
      </c>
      <c r="H42" s="45" t="n">
        <v>849.9400000000001</v>
      </c>
      <c r="I42" s="44" t="n">
        <v>-1</v>
      </c>
      <c r="J42" s="45" t="n">
        <v>5204.301428571429</v>
      </c>
      <c r="K42" s="44" t="n">
        <v>-1</v>
      </c>
    </row>
    <row r="43">
      <c r="A43" s="43" t="n">
        <v>39</v>
      </c>
      <c r="B43" s="43" t="inlineStr">
        <is>
          <t>SKALO - Prosushi</t>
        </is>
      </c>
      <c r="C43" s="44" t="n">
        <v>0</v>
      </c>
      <c r="D43" s="45" t="n">
        <v>0</v>
      </c>
      <c r="E43" s="45" t="n">
        <v>0</v>
      </c>
      <c r="F43" s="45" t="n">
        <v>0</v>
      </c>
      <c r="G43" s="44" t="n">
        <v>0</v>
      </c>
      <c r="H43" s="45" t="n">
        <v>0</v>
      </c>
      <c r="I43" s="44" t="n">
        <v>0</v>
      </c>
      <c r="J43" s="45" t="n">
        <v>2577.742</v>
      </c>
      <c r="K43" s="44" t="n">
        <v>-1</v>
      </c>
    </row>
    <row r="44">
      <c r="A44" s="43" t="n">
        <v>40</v>
      </c>
      <c r="B44" s="43" t="inlineStr">
        <is>
          <t>SKALO - Buns and bottles bar</t>
        </is>
      </c>
      <c r="C44" s="44" t="n">
        <v>0</v>
      </c>
      <c r="D44" s="45" t="n">
        <v>0</v>
      </c>
      <c r="E44" s="45" t="n">
        <v>0</v>
      </c>
      <c r="F44" s="45" t="n">
        <v>0</v>
      </c>
      <c r="G44" s="44" t="n">
        <v>0</v>
      </c>
      <c r="H44" s="45" t="n">
        <v>0</v>
      </c>
      <c r="I44" s="44" t="n">
        <v>0</v>
      </c>
      <c r="J44" s="45" t="n">
        <v>1037.87</v>
      </c>
      <c r="K44" s="44" t="n">
        <v>-1</v>
      </c>
    </row>
    <row r="45">
      <c r="A45" s="43" t="n">
        <v>41</v>
      </c>
      <c r="B45" s="43" t="inlineStr">
        <is>
          <t>SKALO - Oni Izakaya</t>
        </is>
      </c>
      <c r="C45" s="44" t="n">
        <v>0</v>
      </c>
      <c r="D45" s="45" t="n">
        <v>0</v>
      </c>
      <c r="E45" s="45" t="n">
        <v>0</v>
      </c>
      <c r="F45" s="45" t="n">
        <v>0</v>
      </c>
      <c r="G45" s="44" t="n">
        <v>0</v>
      </c>
      <c r="H45" s="45" t="n">
        <v>1080.05</v>
      </c>
      <c r="I45" s="44" t="n">
        <v>-1</v>
      </c>
      <c r="J45" s="45" t="n">
        <v>729.865</v>
      </c>
      <c r="K45" s="44" t="n">
        <v>-1</v>
      </c>
    </row>
    <row r="46">
      <c r="A46" s="43" t="n">
        <v>42</v>
      </c>
      <c r="B46" s="43" t="inlineStr">
        <is>
          <t>SKALO - Park Cafe</t>
        </is>
      </c>
      <c r="C46" s="44" t="n">
        <v>0</v>
      </c>
      <c r="D46" s="45" t="n">
        <v>0</v>
      </c>
      <c r="E46" s="45" t="n">
        <v>0</v>
      </c>
      <c r="F46" s="45" t="n">
        <v>0</v>
      </c>
      <c r="G46" s="44" t="n">
        <v>0</v>
      </c>
      <c r="H46" s="45" t="n">
        <v>1373.46</v>
      </c>
      <c r="I46" s="44" t="n">
        <v>-1</v>
      </c>
      <c r="J46" s="45" t="n">
        <v>3598.014</v>
      </c>
      <c r="K46" s="44" t="n">
        <v>-1</v>
      </c>
    </row>
    <row r="47">
      <c r="A47" s="43" t="n">
        <v>43</v>
      </c>
      <c r="B47" s="43" t="inlineStr">
        <is>
          <t>SKALO - Prosushi Browary</t>
        </is>
      </c>
      <c r="C47" s="44" t="n">
        <v>0</v>
      </c>
      <c r="D47" s="45" t="n">
        <v>0</v>
      </c>
      <c r="E47" s="45" t="n">
        <v>0</v>
      </c>
      <c r="F47" s="45" t="n">
        <v>0</v>
      </c>
      <c r="G47" s="44" t="n">
        <v>0</v>
      </c>
      <c r="H47" s="45" t="n">
        <v>0</v>
      </c>
      <c r="I47" s="44" t="n">
        <v>0</v>
      </c>
      <c r="J47" s="45" t="n">
        <v>1582.25</v>
      </c>
      <c r="K47" s="44" t="n">
        <v>-1</v>
      </c>
    </row>
    <row r="48">
      <c r="A48" s="46" t="n"/>
      <c r="B48" s="46" t="inlineStr">
        <is>
          <t>RAZEM</t>
        </is>
      </c>
      <c r="C48" s="47" t="n"/>
      <c r="D48" s="48" t="n">
        <v>92360.70999999999</v>
      </c>
      <c r="E48" s="48" t="n">
        <v>56081.16286068645</v>
      </c>
      <c r="F48" s="48" t="n">
        <v>36279.54713931354</v>
      </c>
      <c r="G48" s="47" t="n">
        <v>0.3928028177708199</v>
      </c>
      <c r="H48" s="48" t="n">
        <v>99347.48000000001</v>
      </c>
      <c r="I48" s="47" t="n"/>
      <c r="J48" s="48" t="n"/>
      <c r="K48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53" t="inlineStr">
        <is>
          <t>WERYFIKACJA - ZOSTANĄ - STYCZEŃ 2026</t>
        </is>
      </c>
    </row>
    <row r="2">
      <c r="A2" s="35" t="inlineStr">
        <is>
          <t>Aktywni: 23/30 | Sprzedaż: 27,867 zł | Zysk: 10,786 zł | Marża: 38.7%</t>
        </is>
      </c>
    </row>
    <row r="4">
      <c r="A4" s="54" t="inlineStr">
        <is>
          <t>Poz.</t>
        </is>
      </c>
      <c r="B4" s="54" t="inlineStr">
        <is>
          <t>Klient</t>
        </is>
      </c>
      <c r="C4" s="54" t="inlineStr">
        <is>
          <t>Rabat %</t>
        </is>
      </c>
      <c r="D4" s="54" t="inlineStr">
        <is>
          <t>Sprzedaż
Sty 26</t>
        </is>
      </c>
      <c r="E4" s="54" t="inlineStr">
        <is>
          <t>Koszt
Sty 26</t>
        </is>
      </c>
      <c r="F4" s="54" t="inlineStr">
        <is>
          <t>Zysk
Sty 26</t>
        </is>
      </c>
      <c r="G4" s="54" t="inlineStr">
        <is>
          <t>Marża</t>
        </is>
      </c>
      <c r="H4" s="54" t="inlineStr">
        <is>
          <t>Sprzedaż
Gru 25</t>
        </is>
      </c>
      <c r="I4" s="54" t="inlineStr">
        <is>
          <t>Zmiana
vs Gru 25</t>
        </is>
      </c>
      <c r="J4" s="54" t="inlineStr">
        <is>
          <t>Śr. mies.
2025</t>
        </is>
      </c>
      <c r="K4" s="54" t="inlineStr">
        <is>
          <t>Trend
vs średnia</t>
        </is>
      </c>
    </row>
    <row r="5">
      <c r="A5" s="37" t="n">
        <v>1</v>
      </c>
      <c r="B5" s="37" t="inlineStr">
        <is>
          <t>Just like you</t>
        </is>
      </c>
      <c r="C5" s="38" t="n">
        <v>0.2</v>
      </c>
      <c r="D5" s="39" t="n">
        <v>2172.59</v>
      </c>
      <c r="E5" s="39" t="n">
        <v>1484.050898290195</v>
      </c>
      <c r="F5" s="39" t="n">
        <v>688.5391017098052</v>
      </c>
      <c r="G5" s="38" t="n">
        <v>0.3169208648248428</v>
      </c>
      <c r="H5" s="39" t="n">
        <v>2076.1</v>
      </c>
      <c r="I5" s="38" t="n">
        <v>0.04647656663937202</v>
      </c>
      <c r="J5" s="39" t="n">
        <v>1726.803333333333</v>
      </c>
      <c r="K5" s="38" t="n">
        <v>0.2581571728878603</v>
      </c>
    </row>
    <row r="6">
      <c r="A6" s="40" t="n">
        <v>2</v>
      </c>
      <c r="B6" s="40" t="inlineStr">
        <is>
          <t>Ti Amo Tratoria</t>
        </is>
      </c>
      <c r="C6" s="41" t="n">
        <v>0.2</v>
      </c>
      <c r="D6" s="42" t="n">
        <v>2030.88</v>
      </c>
      <c r="E6" s="42" t="n">
        <v>1305.877640852442</v>
      </c>
      <c r="F6" s="42" t="n">
        <v>725.0023591475581</v>
      </c>
      <c r="G6" s="41" t="n">
        <v>0.3569892653172802</v>
      </c>
      <c r="H6" s="42" t="n">
        <v>2634.96</v>
      </c>
      <c r="I6" s="41" t="n">
        <v>-0.229255852081246</v>
      </c>
      <c r="J6" s="42" t="n">
        <v>2596.153333333333</v>
      </c>
      <c r="K6" s="41" t="n">
        <v>-0.217734956589621</v>
      </c>
    </row>
    <row r="7">
      <c r="A7" s="37" t="n">
        <v>3</v>
      </c>
      <c r="B7" s="37" t="inlineStr">
        <is>
          <t>Sushi Mango 2</t>
        </is>
      </c>
      <c r="C7" s="38" t="n">
        <v>0.2</v>
      </c>
      <c r="D7" s="39" t="n">
        <v>1994.88</v>
      </c>
      <c r="E7" s="39" t="n">
        <v>1304.758436804371</v>
      </c>
      <c r="F7" s="39" t="n">
        <v>690.1215631956291</v>
      </c>
      <c r="G7" s="38" t="n">
        <v>0.3459464043930607</v>
      </c>
      <c r="H7" s="39" t="n">
        <v>1526.14</v>
      </c>
      <c r="I7" s="38" t="n">
        <v>0.3071408913992163</v>
      </c>
      <c r="J7" s="39" t="n">
        <v>1674.12</v>
      </c>
      <c r="K7" s="38" t="n">
        <v>0.1915991685183858</v>
      </c>
    </row>
    <row r="8">
      <c r="A8" s="40" t="n">
        <v>4</v>
      </c>
      <c r="B8" s="40" t="inlineStr">
        <is>
          <t>Ach Cafe</t>
        </is>
      </c>
      <c r="C8" s="41" t="n">
        <v>0.2</v>
      </c>
      <c r="D8" s="42" t="n">
        <v>1817.39</v>
      </c>
      <c r="E8" s="42" t="n">
        <v>1137.290274612567</v>
      </c>
      <c r="F8" s="42" t="n">
        <v>680.0997253874332</v>
      </c>
      <c r="G8" s="41" t="n">
        <v>0.3742178208240571</v>
      </c>
      <c r="H8" s="42" t="n">
        <v>1830.96</v>
      </c>
      <c r="I8" s="41" t="n">
        <v>-0.007411412592301271</v>
      </c>
      <c r="J8" s="42" t="n">
        <v>2188.750833333333</v>
      </c>
      <c r="K8" s="41" t="n">
        <v>-0.16966793464004</v>
      </c>
    </row>
    <row r="9">
      <c r="A9" s="37" t="n">
        <v>5</v>
      </c>
      <c r="B9" s="37" t="inlineStr">
        <is>
          <t>Śledzie z Bornholmu</t>
        </is>
      </c>
      <c r="C9" s="38" t="n">
        <v>0.1</v>
      </c>
      <c r="D9" s="39" t="n">
        <v>1636.49</v>
      </c>
      <c r="E9" s="39" t="n">
        <v>879.8842939656366</v>
      </c>
      <c r="F9" s="39" t="n">
        <v>756.6057060343634</v>
      </c>
      <c r="G9" s="38" t="n">
        <v>0.4623344511939354</v>
      </c>
      <c r="H9" s="39" t="n">
        <v>2392.99</v>
      </c>
      <c r="I9" s="38" t="n">
        <v>-0.3161317013443432</v>
      </c>
      <c r="J9" s="39" t="n">
        <v>2064.798333333334</v>
      </c>
      <c r="K9" s="38" t="n">
        <v>-0.2074334943121969</v>
      </c>
    </row>
    <row r="10">
      <c r="A10" s="40" t="n">
        <v>6</v>
      </c>
      <c r="B10" s="40" t="inlineStr">
        <is>
          <t>Sklep Medyczny</t>
        </is>
      </c>
      <c r="C10" s="41" t="n">
        <v>0.18</v>
      </c>
      <c r="D10" s="42" t="n">
        <v>1514.46</v>
      </c>
      <c r="E10" s="42" t="n">
        <v>860.7617725007183</v>
      </c>
      <c r="F10" s="42" t="n">
        <v>653.6982274992818</v>
      </c>
      <c r="G10" s="41" t="n">
        <v>0.4316378296549805</v>
      </c>
      <c r="H10" s="42" t="n">
        <v>638.11</v>
      </c>
      <c r="I10" s="41" t="n">
        <v>1.373352556769209</v>
      </c>
      <c r="J10" s="42" t="n">
        <v>927.7766666666666</v>
      </c>
      <c r="K10" s="41" t="n">
        <v>0.6323540507234141</v>
      </c>
    </row>
    <row r="11">
      <c r="A11" s="37" t="n">
        <v>7</v>
      </c>
      <c r="B11" s="37" t="inlineStr">
        <is>
          <t>Manna</t>
        </is>
      </c>
      <c r="C11" s="38" t="n">
        <v>0.18</v>
      </c>
      <c r="D11" s="39" t="n">
        <v>1447.49</v>
      </c>
      <c r="E11" s="39" t="n">
        <v>897.9650861270674</v>
      </c>
      <c r="F11" s="39" t="n">
        <v>549.5249138729326</v>
      </c>
      <c r="G11" s="38" t="n">
        <v>0.3796398689268545</v>
      </c>
      <c r="H11" s="39" t="n">
        <v>2470.49</v>
      </c>
      <c r="I11" s="38" t="n">
        <v>-0.4140878934948127</v>
      </c>
      <c r="J11" s="39" t="n">
        <v>1817.896666666667</v>
      </c>
      <c r="K11" s="38" t="n">
        <v>-0.2037556223401037</v>
      </c>
    </row>
    <row r="12">
      <c r="A12" s="40" t="n">
        <v>8</v>
      </c>
      <c r="B12" s="40" t="inlineStr">
        <is>
          <t>Szaurmafia</t>
        </is>
      </c>
      <c r="C12" s="41" t="n">
        <v>0.15</v>
      </c>
      <c r="D12" s="42" t="n">
        <v>1290.28</v>
      </c>
      <c r="E12" s="42" t="n">
        <v>786.8797081625045</v>
      </c>
      <c r="F12" s="42" t="n">
        <v>503.4002918374955</v>
      </c>
      <c r="G12" s="41" t="n">
        <v>0.390148101061394</v>
      </c>
      <c r="H12" s="42" t="n">
        <v>1229.26</v>
      </c>
      <c r="I12" s="41" t="n">
        <v>0.04963962058474203</v>
      </c>
      <c r="J12" s="42" t="n">
        <v>2424.806363636364</v>
      </c>
      <c r="K12" s="41" t="n">
        <v>-0.4678832836511407</v>
      </c>
    </row>
    <row r="13">
      <c r="A13" s="37" t="n">
        <v>9</v>
      </c>
      <c r="B13" s="37" t="inlineStr">
        <is>
          <t>SKALO - Prime WALICÓW</t>
        </is>
      </c>
      <c r="C13" s="38" t="n">
        <v>0.1</v>
      </c>
      <c r="D13" s="39" t="n">
        <v>1274.29</v>
      </c>
      <c r="E13" s="39" t="n">
        <v>667.9139912729144</v>
      </c>
      <c r="F13" s="39" t="n">
        <v>606.3760087270856</v>
      </c>
      <c r="G13" s="38" t="n">
        <v>0.4758540118239064</v>
      </c>
      <c r="H13" s="39" t="n">
        <v>3671.19</v>
      </c>
      <c r="I13" s="38" t="n">
        <v>-0.652894565522351</v>
      </c>
      <c r="J13" s="39" t="n">
        <v>1423.466363636364</v>
      </c>
      <c r="K13" s="38" t="n">
        <v>-0.1047979548004775</v>
      </c>
    </row>
    <row r="14">
      <c r="A14" s="40" t="n">
        <v>10</v>
      </c>
      <c r="B14" s="40" t="inlineStr">
        <is>
          <t>Atelier Stylissimo</t>
        </is>
      </c>
      <c r="C14" s="41" t="n">
        <v>0.15</v>
      </c>
      <c r="D14" s="42" t="n">
        <v>1263.15</v>
      </c>
      <c r="E14" s="42" t="n">
        <v>808.6659270320332</v>
      </c>
      <c r="F14" s="42" t="n">
        <v>454.4840729679669</v>
      </c>
      <c r="G14" s="41" t="n">
        <v>0.3598021398630146</v>
      </c>
      <c r="H14" s="42" t="n">
        <v>1587.42</v>
      </c>
      <c r="I14" s="41" t="n">
        <v>-0.2042748610953623</v>
      </c>
      <c r="J14" s="42" t="n">
        <v>1662.2475</v>
      </c>
      <c r="K14" s="41" t="n">
        <v>-0.2400951121899717</v>
      </c>
    </row>
    <row r="15">
      <c r="A15" s="37" t="n">
        <v>11</v>
      </c>
      <c r="B15" s="37" t="inlineStr">
        <is>
          <t>LANS SIENNA</t>
        </is>
      </c>
      <c r="C15" s="38" t="n">
        <v>0.15</v>
      </c>
      <c r="D15" s="39" t="n">
        <v>1254.05</v>
      </c>
      <c r="E15" s="39" t="n">
        <v>888.7992098984291</v>
      </c>
      <c r="F15" s="39" t="n">
        <v>365.2507901015708</v>
      </c>
      <c r="G15" s="38" t="n">
        <v>0.2912569595323718</v>
      </c>
      <c r="H15" s="39" t="n">
        <v>512.6799999999999</v>
      </c>
      <c r="I15" s="38" t="n">
        <v>1.446067722555981</v>
      </c>
      <c r="J15" s="39" t="n">
        <v>1547.06</v>
      </c>
      <c r="K15" s="38" t="n">
        <v>-0.1893979548304526</v>
      </c>
    </row>
    <row r="16">
      <c r="A16" s="40" t="n">
        <v>12</v>
      </c>
      <c r="B16" s="40" t="inlineStr">
        <is>
          <t>No Tu Olideli</t>
        </is>
      </c>
      <c r="C16" s="41" t="n">
        <v>0.1</v>
      </c>
      <c r="D16" s="42" t="n">
        <v>1207.1</v>
      </c>
      <c r="E16" s="42" t="n">
        <v>691.0965520186757</v>
      </c>
      <c r="F16" s="42" t="n">
        <v>516.0034479813243</v>
      </c>
      <c r="G16" s="41" t="n">
        <v>0.427473654197104</v>
      </c>
      <c r="H16" s="42" t="n">
        <v>1821.77</v>
      </c>
      <c r="I16" s="41" t="n">
        <v>-0.3374026358980552</v>
      </c>
      <c r="J16" s="42" t="n">
        <v>1003.173333333333</v>
      </c>
      <c r="K16" s="41" t="n">
        <v>0.2032815864323879</v>
      </c>
    </row>
    <row r="17">
      <c r="A17" s="37" t="n">
        <v>13</v>
      </c>
      <c r="B17" s="37" t="inlineStr">
        <is>
          <t>SKALO - Prime MOKOTÓW</t>
        </is>
      </c>
      <c r="C17" s="38" t="n">
        <v>0.1</v>
      </c>
      <c r="D17" s="39" t="n">
        <v>1145.59</v>
      </c>
      <c r="E17" s="39" t="n">
        <v>621.4641004084829</v>
      </c>
      <c r="F17" s="39" t="n">
        <v>524.1258995915171</v>
      </c>
      <c r="G17" s="38" t="n">
        <v>0.4575161267045951</v>
      </c>
      <c r="H17" s="39" t="n">
        <v>747.74</v>
      </c>
      <c r="I17" s="38" t="n">
        <v>0.5320699708454809</v>
      </c>
      <c r="J17" s="39" t="n">
        <v>757.0754545454546</v>
      </c>
      <c r="K17" s="38" t="n">
        <v>0.5131781028191016</v>
      </c>
    </row>
    <row r="18">
      <c r="A18" s="40" t="n">
        <v>14</v>
      </c>
      <c r="B18" s="40" t="inlineStr">
        <is>
          <t>W Kropki Bordo</t>
        </is>
      </c>
      <c r="C18" s="41" t="n">
        <v>0.23</v>
      </c>
      <c r="D18" s="42" t="n">
        <v>1080.53</v>
      </c>
      <c r="E18" s="42" t="n">
        <v>693.3596070787664</v>
      </c>
      <c r="F18" s="42" t="n">
        <v>387.1703929212335</v>
      </c>
      <c r="G18" s="41" t="n">
        <v>0.3583152646583006</v>
      </c>
      <c r="H18" s="42" t="n">
        <v>1309.37</v>
      </c>
      <c r="I18" s="41" t="n">
        <v>-0.1747710731114963</v>
      </c>
      <c r="J18" s="42" t="n">
        <v>2731.745833333333</v>
      </c>
      <c r="K18" s="41" t="n">
        <v>-0.6044544163607216</v>
      </c>
    </row>
    <row r="19">
      <c r="A19" s="37" t="n">
        <v>15</v>
      </c>
      <c r="B19" s="37" t="inlineStr">
        <is>
          <t>SERDECZNY BAR MLECZNY</t>
        </is>
      </c>
      <c r="C19" s="38" t="n">
        <v>0.18</v>
      </c>
      <c r="D19" s="39" t="n">
        <v>1046.94</v>
      </c>
      <c r="E19" s="39" t="n">
        <v>675.7452317684726</v>
      </c>
      <c r="F19" s="39" t="n">
        <v>371.1947682315274</v>
      </c>
      <c r="G19" s="38" t="n">
        <v>0.3545520929867303</v>
      </c>
      <c r="H19" s="39" t="n">
        <v>1738.96</v>
      </c>
      <c r="I19" s="38" t="n">
        <v>-0.3979504991489166</v>
      </c>
      <c r="J19" s="39" t="n">
        <v>1840.999</v>
      </c>
      <c r="K19" s="38" t="n">
        <v>-0.4313196259204921</v>
      </c>
    </row>
    <row r="20">
      <c r="A20" s="40" t="n">
        <v>16</v>
      </c>
      <c r="B20" s="40" t="inlineStr">
        <is>
          <t>Cafe Jagiel</t>
        </is>
      </c>
      <c r="C20" s="41" t="n">
        <v>0.15</v>
      </c>
      <c r="D20" s="42" t="n">
        <v>990.92</v>
      </c>
      <c r="E20" s="42" t="n">
        <v>599.623824020307</v>
      </c>
      <c r="F20" s="42" t="n">
        <v>391.296175979693</v>
      </c>
      <c r="G20" s="41" t="n">
        <v>0.3948817018323306</v>
      </c>
      <c r="H20" s="42" t="n">
        <v>1119.88</v>
      </c>
      <c r="I20" s="41" t="n">
        <v>-0.1151551951994858</v>
      </c>
      <c r="J20" s="42" t="n">
        <v>1566.05</v>
      </c>
      <c r="K20" s="41" t="n">
        <v>-0.3672488107020849</v>
      </c>
    </row>
    <row r="21">
      <c r="A21" s="37" t="n">
        <v>17</v>
      </c>
      <c r="B21" s="37" t="inlineStr">
        <is>
          <t>LOsteria</t>
        </is>
      </c>
      <c r="C21" s="38" t="n">
        <v>0.15</v>
      </c>
      <c r="D21" s="39" t="n">
        <v>972.36</v>
      </c>
      <c r="E21" s="39" t="n">
        <v>546.199133092353</v>
      </c>
      <c r="F21" s="39" t="n">
        <v>426.160866907647</v>
      </c>
      <c r="G21" s="38" t="n">
        <v>0.4382747818787764</v>
      </c>
      <c r="H21" s="39" t="n">
        <v>2276.53</v>
      </c>
      <c r="I21" s="38" t="n">
        <v>-0.5728762634360188</v>
      </c>
      <c r="J21" s="39" t="n">
        <v>1393.83</v>
      </c>
      <c r="K21" s="38" t="n">
        <v>-0.3023826435074578</v>
      </c>
    </row>
    <row r="22">
      <c r="A22" s="40" t="n">
        <v>18</v>
      </c>
      <c r="B22" s="40" t="inlineStr">
        <is>
          <t>DIFFERENT</t>
        </is>
      </c>
      <c r="C22" s="41" t="n">
        <v>0.18</v>
      </c>
      <c r="D22" s="42" t="n">
        <v>877.15</v>
      </c>
      <c r="E22" s="42" t="n">
        <v>546.0752571722968</v>
      </c>
      <c r="F22" s="42" t="n">
        <v>331.0747428277032</v>
      </c>
      <c r="G22" s="41" t="n">
        <v>0.3774437015649583</v>
      </c>
      <c r="H22" s="42" t="n">
        <v>1123.03</v>
      </c>
      <c r="I22" s="41" t="n">
        <v>-0.218943394210306</v>
      </c>
      <c r="J22" s="42" t="n">
        <v>1598.453</v>
      </c>
      <c r="K22" s="41" t="n">
        <v>-0.4512506779992906</v>
      </c>
    </row>
    <row r="23">
      <c r="A23" s="37" t="n">
        <v>19</v>
      </c>
      <c r="B23" s="37" t="inlineStr">
        <is>
          <t>AGLI AMICI 2</t>
        </is>
      </c>
      <c r="C23" s="38" t="n">
        <v>0.15</v>
      </c>
      <c r="D23" s="39" t="n">
        <v>801.61</v>
      </c>
      <c r="E23" s="39" t="n">
        <v>515.9967451600661</v>
      </c>
      <c r="F23" s="39" t="n">
        <v>285.6132548399339</v>
      </c>
      <c r="G23" s="38" t="n">
        <v>0.3562995157744214</v>
      </c>
      <c r="H23" s="39" t="n">
        <v>2557.29</v>
      </c>
      <c r="I23" s="38" t="n">
        <v>-0.6865392661763038</v>
      </c>
      <c r="J23" s="39" t="n">
        <v>1811.78</v>
      </c>
      <c r="K23" s="38" t="n">
        <v>-0.5575566569892592</v>
      </c>
    </row>
    <row r="24">
      <c r="A24" s="40" t="n">
        <v>20</v>
      </c>
      <c r="B24" s="40" t="inlineStr">
        <is>
          <t>Kubicz Salon fryzjerski</t>
        </is>
      </c>
      <c r="C24" s="41" t="n">
        <v>0.1</v>
      </c>
      <c r="D24" s="42" t="n">
        <v>745.05</v>
      </c>
      <c r="E24" s="42" t="n">
        <v>345.192814887823</v>
      </c>
      <c r="F24" s="42" t="n">
        <v>399.857185112177</v>
      </c>
      <c r="G24" s="41" t="n">
        <v>0.5366850347120019</v>
      </c>
      <c r="H24" s="42" t="n">
        <v>736.96</v>
      </c>
      <c r="I24" s="41" t="n">
        <v>0.01097752930959607</v>
      </c>
      <c r="J24" s="42" t="n">
        <v>956.3860000000001</v>
      </c>
      <c r="K24" s="41" t="n">
        <v>-0.2209735399723544</v>
      </c>
    </row>
    <row r="25">
      <c r="A25" s="37" t="n">
        <v>21</v>
      </c>
      <c r="B25" s="37" t="inlineStr">
        <is>
          <t xml:space="preserve">Tomasz Łagowski </t>
        </is>
      </c>
      <c r="C25" s="38" t="n">
        <v>0.18</v>
      </c>
      <c r="D25" s="39" t="n">
        <v>617.59</v>
      </c>
      <c r="E25" s="39" t="n">
        <v>361.8302451713262</v>
      </c>
      <c r="F25" s="39" t="n">
        <v>255.7597548286738</v>
      </c>
      <c r="G25" s="38" t="n">
        <v>0.4141254794097602</v>
      </c>
      <c r="H25" s="39" t="n">
        <v>796.3199999999999</v>
      </c>
      <c r="I25" s="38" t="n">
        <v>-0.2244449467550732</v>
      </c>
      <c r="J25" s="39" t="n">
        <v>1209.153333333333</v>
      </c>
      <c r="K25" s="38" t="n">
        <v>-0.4892376483820635</v>
      </c>
    </row>
    <row r="26">
      <c r="A26" s="40" t="n">
        <v>22</v>
      </c>
      <c r="B26" s="40" t="inlineStr">
        <is>
          <t>GAMAGYM</t>
        </is>
      </c>
      <c r="C26" s="41" t="n">
        <v>0.18</v>
      </c>
      <c r="D26" s="42" t="n">
        <v>359.56</v>
      </c>
      <c r="E26" s="42" t="n">
        <v>267.6328842682039</v>
      </c>
      <c r="F26" s="42" t="n">
        <v>91.92711573179611</v>
      </c>
      <c r="G26" s="41" t="n">
        <v>0.2556655794075985</v>
      </c>
      <c r="H26" s="42" t="n">
        <v>535.17</v>
      </c>
      <c r="I26" s="41" t="n">
        <v>-0.3281387222751648</v>
      </c>
      <c r="J26" s="42" t="n">
        <v>477.47</v>
      </c>
      <c r="K26" s="41" t="n">
        <v>-0.2469474521959494</v>
      </c>
    </row>
    <row r="27">
      <c r="A27" s="37" t="n">
        <v>23</v>
      </c>
      <c r="B27" s="37" t="inlineStr">
        <is>
          <t>Kardamon</t>
        </is>
      </c>
      <c r="C27" s="38" t="n">
        <v>0.18</v>
      </c>
      <c r="D27" s="39" t="n">
        <v>326.84</v>
      </c>
      <c r="E27" s="39" t="n">
        <v>194.3206189264682</v>
      </c>
      <c r="F27" s="39" t="n">
        <v>132.5193810735318</v>
      </c>
      <c r="G27" s="38" t="n">
        <v>0.4054564345659399</v>
      </c>
      <c r="H27" s="39" t="n">
        <v>470.51</v>
      </c>
      <c r="I27" s="38" t="n">
        <v>-0.3053495143567618</v>
      </c>
      <c r="J27" s="39" t="n">
        <v>2474.962222222222</v>
      </c>
      <c r="K27" s="38" t="n">
        <v>-0.8679414186344483</v>
      </c>
    </row>
    <row r="28">
      <c r="A28" s="43" t="n">
        <v>24</v>
      </c>
      <c r="B28" s="43" t="inlineStr">
        <is>
          <t xml:space="preserve">TRUE STORY </t>
        </is>
      </c>
      <c r="C28" s="44" t="n">
        <v>0.15</v>
      </c>
      <c r="D28" s="45" t="n">
        <v>0</v>
      </c>
      <c r="E28" s="45" t="n">
        <v>0</v>
      </c>
      <c r="F28" s="45" t="n">
        <v>0</v>
      </c>
      <c r="G28" s="44" t="n">
        <v>0</v>
      </c>
      <c r="H28" s="45" t="n">
        <v>0</v>
      </c>
      <c r="I28" s="44" t="n">
        <v>0</v>
      </c>
      <c r="J28" s="45" t="n">
        <v>2687.822222222222</v>
      </c>
      <c r="K28" s="44" t="n">
        <v>-1</v>
      </c>
    </row>
    <row r="29">
      <c r="A29" s="43" t="n">
        <v>25</v>
      </c>
      <c r="B29" s="43" t="inlineStr">
        <is>
          <t>EWNS</t>
        </is>
      </c>
      <c r="C29" s="44" t="n">
        <v>0.25</v>
      </c>
      <c r="D29" s="45" t="n">
        <v>0</v>
      </c>
      <c r="E29" s="45" t="n">
        <v>0</v>
      </c>
      <c r="F29" s="45" t="n">
        <v>0</v>
      </c>
      <c r="G29" s="44" t="n">
        <v>0</v>
      </c>
      <c r="H29" s="45" t="n">
        <v>415.72</v>
      </c>
      <c r="I29" s="44" t="n">
        <v>-1</v>
      </c>
      <c r="J29" s="45" t="n">
        <v>2385.4475</v>
      </c>
      <c r="K29" s="44" t="n">
        <v>-1</v>
      </c>
    </row>
    <row r="30">
      <c r="A30" s="43" t="n">
        <v>26</v>
      </c>
      <c r="B30" s="43" t="inlineStr">
        <is>
          <t>Wery Sweet</t>
        </is>
      </c>
      <c r="C30" s="44" t="n">
        <v>0.1</v>
      </c>
      <c r="D30" s="45" t="n">
        <v>0</v>
      </c>
      <c r="E30" s="45" t="n">
        <v>0</v>
      </c>
      <c r="F30" s="45" t="n">
        <v>0</v>
      </c>
      <c r="G30" s="44" t="n">
        <v>0</v>
      </c>
      <c r="H30" s="45" t="n">
        <v>0</v>
      </c>
      <c r="I30" s="44" t="n">
        <v>0</v>
      </c>
      <c r="J30" s="45" t="n">
        <v>2986.455</v>
      </c>
      <c r="K30" s="44" t="n">
        <v>-1</v>
      </c>
    </row>
    <row r="31">
      <c r="A31" s="43" t="n">
        <v>27</v>
      </c>
      <c r="B31" s="43" t="inlineStr">
        <is>
          <t>SKALO - Ten Sushi</t>
        </is>
      </c>
      <c r="C31" s="44" t="n">
        <v>0</v>
      </c>
      <c r="D31" s="45" t="n">
        <v>0</v>
      </c>
      <c r="E31" s="45" t="n">
        <v>0</v>
      </c>
      <c r="F31" s="45" t="n">
        <v>0</v>
      </c>
      <c r="G31" s="44" t="n">
        <v>0</v>
      </c>
      <c r="H31" s="45" t="n">
        <v>0</v>
      </c>
      <c r="I31" s="44" t="n">
        <v>0</v>
      </c>
      <c r="J31" s="45" t="n">
        <v>2262.385</v>
      </c>
      <c r="K31" s="44" t="n">
        <v>-1</v>
      </c>
    </row>
    <row r="32">
      <c r="A32" s="43" t="n">
        <v>28</v>
      </c>
      <c r="B32" s="43" t="inlineStr">
        <is>
          <t xml:space="preserve">Gmina Konstancin-Jeziorna  </t>
        </is>
      </c>
      <c r="C32" s="44" t="n">
        <v>0.15</v>
      </c>
      <c r="D32" s="45" t="n">
        <v>0</v>
      </c>
      <c r="E32" s="45" t="n">
        <v>0</v>
      </c>
      <c r="F32" s="45" t="n">
        <v>0</v>
      </c>
      <c r="G32" s="44" t="n">
        <v>0</v>
      </c>
      <c r="H32" s="45" t="n">
        <v>0</v>
      </c>
      <c r="I32" s="44" t="n">
        <v>0</v>
      </c>
      <c r="J32" s="45" t="n">
        <v>708.5699999999999</v>
      </c>
      <c r="K32" s="44" t="n">
        <v>-1</v>
      </c>
    </row>
    <row r="33">
      <c r="A33" s="43" t="n">
        <v>29</v>
      </c>
      <c r="B33" s="43" t="inlineStr">
        <is>
          <t>SKALO - Tsuma Sushi</t>
        </is>
      </c>
      <c r="C33" s="44" t="n">
        <v>0.2</v>
      </c>
      <c r="D33" s="45" t="n">
        <v>0</v>
      </c>
      <c r="E33" s="45" t="n">
        <v>0</v>
      </c>
      <c r="F33" s="45" t="n">
        <v>0</v>
      </c>
      <c r="G33" s="44" t="n">
        <v>0</v>
      </c>
      <c r="H33" s="45" t="n">
        <v>396.77</v>
      </c>
      <c r="I33" s="44" t="n">
        <v>-1</v>
      </c>
      <c r="J33" s="45" t="n">
        <v>566.03</v>
      </c>
      <c r="K33" s="44" t="n">
        <v>-1</v>
      </c>
    </row>
    <row r="34">
      <c r="A34" s="43" t="n">
        <v>30</v>
      </c>
      <c r="B34" s="43" t="inlineStr">
        <is>
          <t>Tsuma Sushi</t>
        </is>
      </c>
      <c r="C34" s="44" t="n">
        <v>0.2</v>
      </c>
      <c r="D34" s="45" t="n">
        <v>0</v>
      </c>
      <c r="E34" s="45" t="n">
        <v>0</v>
      </c>
      <c r="F34" s="45" t="n">
        <v>0</v>
      </c>
      <c r="G34" s="44" t="n">
        <v>0</v>
      </c>
      <c r="H34" s="45" t="n">
        <v>391.38</v>
      </c>
      <c r="I34" s="44" t="n">
        <v>-1</v>
      </c>
      <c r="J34" s="45" t="n">
        <v>439.825</v>
      </c>
      <c r="K34" s="44" t="n">
        <v>-1</v>
      </c>
    </row>
    <row r="35">
      <c r="A35" s="46" t="n"/>
      <c r="B35" s="46" t="inlineStr">
        <is>
          <t>RAZEM</t>
        </is>
      </c>
      <c r="C35" s="47" t="n"/>
      <c r="D35" s="48" t="n">
        <v>27867.19</v>
      </c>
      <c r="E35" s="48" t="n">
        <v>17081.38425349212</v>
      </c>
      <c r="F35" s="48" t="n">
        <v>10785.80574650788</v>
      </c>
      <c r="G35" s="47" t="n">
        <v>0.3870431768150244</v>
      </c>
      <c r="H35" s="48" t="n">
        <v>37007.7</v>
      </c>
      <c r="I35" s="47" t="n"/>
      <c r="J35" s="48" t="n"/>
      <c r="K35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55" t="inlineStr">
        <is>
          <t>WERYFIKACJA - ODEJDĄ - STYCZEŃ 2026</t>
        </is>
      </c>
    </row>
    <row r="2">
      <c r="A2" s="35" t="inlineStr">
        <is>
          <t>Aktywni: 12/47 | Sprzedaż: 10,216 zł | Zysk: 4,064 zł | Marża: 39.8%</t>
        </is>
      </c>
    </row>
    <row r="4">
      <c r="A4" s="56" t="inlineStr">
        <is>
          <t>Poz.</t>
        </is>
      </c>
      <c r="B4" s="56" t="inlineStr">
        <is>
          <t>Klient</t>
        </is>
      </c>
      <c r="C4" s="56" t="inlineStr">
        <is>
          <t>Rabat %</t>
        </is>
      </c>
      <c r="D4" s="56" t="inlineStr">
        <is>
          <t>Sprzedaż
Sty 26</t>
        </is>
      </c>
      <c r="E4" s="56" t="inlineStr">
        <is>
          <t>Koszt
Sty 26</t>
        </is>
      </c>
      <c r="F4" s="56" t="inlineStr">
        <is>
          <t>Zysk
Sty 26</t>
        </is>
      </c>
      <c r="G4" s="56" t="inlineStr">
        <is>
          <t>Marża</t>
        </is>
      </c>
      <c r="H4" s="56" t="inlineStr">
        <is>
          <t>Sprzedaż
Gru 25</t>
        </is>
      </c>
      <c r="I4" s="56" t="inlineStr">
        <is>
          <t>Zmiana
vs Gru 25</t>
        </is>
      </c>
      <c r="J4" s="56" t="inlineStr">
        <is>
          <t>Śr. mies.
2025</t>
        </is>
      </c>
      <c r="K4" s="56" t="inlineStr">
        <is>
          <t>Trend
vs średnia</t>
        </is>
      </c>
    </row>
    <row r="5">
      <c r="A5" s="37" t="n">
        <v>1</v>
      </c>
      <c r="B5" s="37" t="inlineStr">
        <is>
          <t>Bishops Bistro</t>
        </is>
      </c>
      <c r="C5" s="38" t="n">
        <v>0.2</v>
      </c>
      <c r="D5" s="39" t="n">
        <v>2922.61</v>
      </c>
      <c r="E5" s="39" t="n">
        <v>1834.442711079693</v>
      </c>
      <c r="F5" s="39" t="n">
        <v>1088.167288920307</v>
      </c>
      <c r="G5" s="38" t="n">
        <v>0.3723272311120222</v>
      </c>
      <c r="H5" s="39" t="n">
        <v>2902.05</v>
      </c>
      <c r="I5" s="38" t="n">
        <v>0.007084647059836992</v>
      </c>
      <c r="J5" s="39" t="n">
        <v>2140.2525</v>
      </c>
      <c r="K5" s="38" t="n">
        <v>0.3655444859893868</v>
      </c>
    </row>
    <row r="6">
      <c r="A6" s="40" t="n">
        <v>2</v>
      </c>
      <c r="B6" s="40" t="inlineStr">
        <is>
          <t>Akashia Sushi</t>
        </is>
      </c>
      <c r="C6" s="41" t="n">
        <v>0.15</v>
      </c>
      <c r="D6" s="42" t="n">
        <v>1437.54</v>
      </c>
      <c r="E6" s="42" t="n">
        <v>939.5024991322275</v>
      </c>
      <c r="F6" s="42" t="n">
        <v>498.0375008677725</v>
      </c>
      <c r="G6" s="41" t="n">
        <v>0.346451229786839</v>
      </c>
      <c r="H6" s="42" t="n">
        <v>3267.43</v>
      </c>
      <c r="I6" s="41" t="n">
        <v>-0.5600395417805432</v>
      </c>
      <c r="J6" s="42" t="n">
        <v>2213.040833333333</v>
      </c>
      <c r="K6" s="41" t="n">
        <v>-0.3504231922215623</v>
      </c>
    </row>
    <row r="7">
      <c r="A7" s="37" t="n">
        <v>3</v>
      </c>
      <c r="B7" s="37" t="inlineStr">
        <is>
          <t>Nakama Izakaya</t>
        </is>
      </c>
      <c r="C7" s="38" t="n">
        <v>0.15</v>
      </c>
      <c r="D7" s="39" t="n">
        <v>1423.11</v>
      </c>
      <c r="E7" s="39" t="n">
        <v>857.2276760927232</v>
      </c>
      <c r="F7" s="39" t="n">
        <v>565.8823239072767</v>
      </c>
      <c r="G7" s="38" t="n">
        <v>0.3976377960293138</v>
      </c>
      <c r="H7" s="39" t="n">
        <v>1360.94</v>
      </c>
      <c r="I7" s="38" t="n">
        <v>0.04568166120475542</v>
      </c>
      <c r="J7" s="39" t="n">
        <v>1150.381666666667</v>
      </c>
      <c r="K7" s="38" t="n">
        <v>0.2370763905892102</v>
      </c>
    </row>
    <row r="8">
      <c r="A8" s="40" t="n">
        <v>4</v>
      </c>
      <c r="B8" s="40" t="inlineStr">
        <is>
          <t>Świetlica</t>
        </is>
      </c>
      <c r="C8" s="41" t="n">
        <v>0.1</v>
      </c>
      <c r="D8" s="42" t="n">
        <v>956.42</v>
      </c>
      <c r="E8" s="42" t="n">
        <v>514.0427057345903</v>
      </c>
      <c r="F8" s="42" t="n">
        <v>442.3772942654097</v>
      </c>
      <c r="G8" s="41" t="n">
        <v>0.4625345499523323</v>
      </c>
      <c r="H8" s="42" t="n">
        <v>986.91</v>
      </c>
      <c r="I8" s="41" t="n">
        <v>-0.03089440779807684</v>
      </c>
      <c r="J8" s="42" t="n">
        <v>1029.8425</v>
      </c>
      <c r="K8" s="41" t="n">
        <v>-0.07129488246989225</v>
      </c>
    </row>
    <row r="9">
      <c r="A9" s="37" t="n">
        <v>5</v>
      </c>
      <c r="B9" s="37" t="inlineStr">
        <is>
          <t>Iguana AFICIONADO</t>
        </is>
      </c>
      <c r="C9" s="38" t="n">
        <v>0.1</v>
      </c>
      <c r="D9" s="39" t="n">
        <v>866.46</v>
      </c>
      <c r="E9" s="39" t="n">
        <v>541.2135506663425</v>
      </c>
      <c r="F9" s="39" t="n">
        <v>325.2464493336576</v>
      </c>
      <c r="G9" s="38" t="n">
        <v>0.3753738768479301</v>
      </c>
      <c r="H9" s="39" t="n">
        <v>0</v>
      </c>
      <c r="I9" s="38" t="n">
        <v>0</v>
      </c>
      <c r="J9" s="39" t="n">
        <v>504.9525</v>
      </c>
      <c r="K9" s="38" t="n">
        <v>0.7159237750085405</v>
      </c>
    </row>
    <row r="10">
      <c r="A10" s="40" t="n">
        <v>6</v>
      </c>
      <c r="B10" s="40" t="inlineStr">
        <is>
          <t>Sushi Point 2</t>
        </is>
      </c>
      <c r="C10" s="41" t="n">
        <v>0.1</v>
      </c>
      <c r="D10" s="42" t="n">
        <v>736.84</v>
      </c>
      <c r="E10" s="42" t="n">
        <v>404.9424274256866</v>
      </c>
      <c r="F10" s="42" t="n">
        <v>331.8975725743134</v>
      </c>
      <c r="G10" s="41" t="n">
        <v>0.4504337068757307</v>
      </c>
      <c r="H10" s="42" t="n">
        <v>1323.1</v>
      </c>
      <c r="I10" s="41" t="n">
        <v>-0.4430957599576751</v>
      </c>
      <c r="J10" s="42" t="n">
        <v>1105.936363636363</v>
      </c>
      <c r="K10" s="41" t="n">
        <v>-0.3337410503645614</v>
      </c>
    </row>
    <row r="11">
      <c r="A11" s="37" t="n">
        <v>7</v>
      </c>
      <c r="B11" s="37" t="inlineStr">
        <is>
          <t>IGUANA Cigarro</t>
        </is>
      </c>
      <c r="C11" s="38" t="n">
        <v>0.1</v>
      </c>
      <c r="D11" s="39" t="n">
        <v>585.65</v>
      </c>
      <c r="E11" s="39" t="n">
        <v>320.0591760893938</v>
      </c>
      <c r="F11" s="39" t="n">
        <v>265.5908239106062</v>
      </c>
      <c r="G11" s="38" t="n">
        <v>0.453497522258356</v>
      </c>
      <c r="H11" s="39" t="n">
        <v>536.9299999999999</v>
      </c>
      <c r="I11" s="38" t="n">
        <v>0.09073808503901819</v>
      </c>
      <c r="J11" s="39" t="n">
        <v>500.1377777777777</v>
      </c>
      <c r="K11" s="38" t="n">
        <v>0.1709773306910985</v>
      </c>
    </row>
    <row r="12">
      <c r="A12" s="40" t="n">
        <v>8</v>
      </c>
      <c r="B12" s="40" t="inlineStr">
        <is>
          <t>Sushi Flow</t>
        </is>
      </c>
      <c r="C12" s="41" t="n">
        <v>0.15</v>
      </c>
      <c r="D12" s="42" t="n">
        <v>534.9</v>
      </c>
      <c r="E12" s="42" t="n">
        <v>323.4351931476041</v>
      </c>
      <c r="F12" s="42" t="n">
        <v>211.4648068523959</v>
      </c>
      <c r="G12" s="41" t="n">
        <v>0.3953352156522638</v>
      </c>
      <c r="H12" s="42" t="n">
        <v>654.92</v>
      </c>
      <c r="I12" s="41" t="n">
        <v>-0.1832590240029316</v>
      </c>
      <c r="J12" s="42" t="n">
        <v>841.8644444444444</v>
      </c>
      <c r="K12" s="41" t="n">
        <v>-0.3646245502706955</v>
      </c>
    </row>
    <row r="13">
      <c r="A13" s="37" t="n">
        <v>9</v>
      </c>
      <c r="B13" s="37" t="inlineStr">
        <is>
          <t>IGUANA Gdańsk</t>
        </is>
      </c>
      <c r="C13" s="38" t="n">
        <v>0.1</v>
      </c>
      <c r="D13" s="39" t="n">
        <v>470.33</v>
      </c>
      <c r="E13" s="39" t="n">
        <v>290.1303367863362</v>
      </c>
      <c r="F13" s="39" t="n">
        <v>180.1996632136638</v>
      </c>
      <c r="G13" s="38" t="n">
        <v>0.3831345294020449</v>
      </c>
      <c r="H13" s="39" t="n">
        <v>1024.21</v>
      </c>
      <c r="I13" s="38" t="n">
        <v>-0.5407875338065437</v>
      </c>
      <c r="J13" s="39" t="n">
        <v>580.3166666666667</v>
      </c>
      <c r="K13" s="38" t="n">
        <v>-0.1895287055917747</v>
      </c>
    </row>
    <row r="14">
      <c r="A14" s="40" t="n">
        <v>10</v>
      </c>
      <c r="B14" s="40" t="inlineStr">
        <is>
          <t>Sake Izakaya</t>
        </is>
      </c>
      <c r="C14" s="41" t="n">
        <v>0.1</v>
      </c>
      <c r="D14" s="42" t="n">
        <v>362.66</v>
      </c>
      <c r="E14" s="42" t="n">
        <v>196.5208623172714</v>
      </c>
      <c r="F14" s="42" t="n">
        <v>166.1391376827286</v>
      </c>
      <c r="G14" s="41" t="n">
        <v>0.4581126611226179</v>
      </c>
      <c r="H14" s="42" t="n">
        <v>663.86</v>
      </c>
      <c r="I14" s="41" t="n">
        <v>-0.4537101196035309</v>
      </c>
      <c r="J14" s="42" t="n">
        <v>441.6358333333333</v>
      </c>
      <c r="K14" s="41" t="n">
        <v>-0.1788256916048855</v>
      </c>
    </row>
    <row r="15">
      <c r="A15" s="37" t="n">
        <v>11</v>
      </c>
      <c r="B15" s="37" t="inlineStr">
        <is>
          <t>PrimeCut</t>
        </is>
      </c>
      <c r="C15" s="38" t="n">
        <v>0.1</v>
      </c>
      <c r="D15" s="39" t="n">
        <v>280.4</v>
      </c>
      <c r="E15" s="39" t="n">
        <v>136.5070627591544</v>
      </c>
      <c r="F15" s="39" t="n">
        <v>143.8929372408456</v>
      </c>
      <c r="G15" s="38" t="n">
        <v>0.5131702469359686</v>
      </c>
      <c r="H15" s="39" t="n">
        <v>960.6</v>
      </c>
      <c r="I15" s="38" t="n">
        <v>-0.7080991047262128</v>
      </c>
      <c r="J15" s="39" t="n">
        <v>1216.963333333333</v>
      </c>
      <c r="K15" s="38" t="n">
        <v>-0.7695904286352095</v>
      </c>
    </row>
    <row r="16">
      <c r="A16" s="40" t="n">
        <v>12</v>
      </c>
      <c r="B16" s="40" t="inlineStr">
        <is>
          <t>SUSHI 101</t>
        </is>
      </c>
      <c r="C16" s="41" t="n">
        <v>0.15</v>
      </c>
      <c r="D16" s="42" t="n">
        <v>258.79</v>
      </c>
      <c r="E16" s="42" t="n">
        <v>137.6797411420653</v>
      </c>
      <c r="F16" s="42" t="n">
        <v>121.1102588579347</v>
      </c>
      <c r="G16" s="41" t="n">
        <v>0.4679866256730736</v>
      </c>
      <c r="H16" s="42" t="n">
        <v>528.89</v>
      </c>
      <c r="I16" s="41" t="n">
        <v>-0.5106922044281419</v>
      </c>
      <c r="J16" s="42" t="n">
        <v>620.925</v>
      </c>
      <c r="K16" s="41" t="n">
        <v>-0.5832185851753432</v>
      </c>
    </row>
    <row r="17">
      <c r="A17" s="43" t="n">
        <v>13</v>
      </c>
      <c r="B17" s="43" t="inlineStr">
        <is>
          <t>JOT Żoliborz</t>
        </is>
      </c>
      <c r="C17" s="44" t="n">
        <v>0</v>
      </c>
      <c r="D17" s="45" t="n">
        <v>0</v>
      </c>
      <c r="E17" s="45" t="n">
        <v>0</v>
      </c>
      <c r="F17" s="45" t="n">
        <v>0</v>
      </c>
      <c r="G17" s="44" t="n">
        <v>0</v>
      </c>
      <c r="H17" s="45" t="n">
        <v>0</v>
      </c>
      <c r="I17" s="44" t="n">
        <v>0</v>
      </c>
      <c r="J17" s="45" t="n">
        <v>1555.715</v>
      </c>
      <c r="K17" s="44" t="n">
        <v>-1</v>
      </c>
    </row>
    <row r="18">
      <c r="A18" s="43" t="n">
        <v>14</v>
      </c>
      <c r="B18" s="43" t="inlineStr">
        <is>
          <t>Ten Sushi 2</t>
        </is>
      </c>
      <c r="C18" s="44" t="n">
        <v>0.15</v>
      </c>
      <c r="D18" s="45" t="n">
        <v>0</v>
      </c>
      <c r="E18" s="45" t="n">
        <v>0</v>
      </c>
      <c r="F18" s="45" t="n">
        <v>0</v>
      </c>
      <c r="G18" s="44" t="n">
        <v>0</v>
      </c>
      <c r="H18" s="45" t="n">
        <v>0</v>
      </c>
      <c r="I18" s="44" t="n">
        <v>0</v>
      </c>
      <c r="J18" s="45" t="n">
        <v>2208.926666666667</v>
      </c>
      <c r="K18" s="44" t="n">
        <v>-1</v>
      </c>
    </row>
    <row r="19">
      <c r="A19" s="43" t="n">
        <v>15</v>
      </c>
      <c r="B19" s="43" t="inlineStr">
        <is>
          <t>The Morning After</t>
        </is>
      </c>
      <c r="C19" s="44" t="n">
        <v>0.18</v>
      </c>
      <c r="D19" s="45" t="n">
        <v>0</v>
      </c>
      <c r="E19" s="45" t="n">
        <v>0</v>
      </c>
      <c r="F19" s="45" t="n">
        <v>0</v>
      </c>
      <c r="G19" s="44" t="n">
        <v>0</v>
      </c>
      <c r="H19" s="45" t="n">
        <v>0</v>
      </c>
      <c r="I19" s="44" t="n">
        <v>0</v>
      </c>
      <c r="J19" s="45" t="n">
        <v>8605.280000000001</v>
      </c>
      <c r="K19" s="44" t="n">
        <v>-1</v>
      </c>
    </row>
    <row r="20">
      <c r="A20" s="43" t="n">
        <v>16</v>
      </c>
      <c r="B20" s="43" t="inlineStr">
        <is>
          <t>GiGi Bar</t>
        </is>
      </c>
      <c r="C20" s="44" t="n">
        <v>0.18</v>
      </c>
      <c r="D20" s="45" t="n">
        <v>0</v>
      </c>
      <c r="E20" s="45" t="n">
        <v>0</v>
      </c>
      <c r="F20" s="45" t="n">
        <v>0</v>
      </c>
      <c r="G20" s="44" t="n">
        <v>0</v>
      </c>
      <c r="H20" s="45" t="n">
        <v>0</v>
      </c>
      <c r="I20" s="44" t="n">
        <v>0</v>
      </c>
      <c r="J20" s="45" t="n">
        <v>878.3200000000001</v>
      </c>
      <c r="K20" s="44" t="n">
        <v>-1</v>
      </c>
    </row>
    <row r="21">
      <c r="A21" s="43" t="n">
        <v>17</v>
      </c>
      <c r="B21" s="43" t="inlineStr">
        <is>
          <t>Magu Sushi</t>
        </is>
      </c>
      <c r="C21" s="44" t="n">
        <v>0.2</v>
      </c>
      <c r="D21" s="45" t="n">
        <v>0</v>
      </c>
      <c r="E21" s="45" t="n">
        <v>0</v>
      </c>
      <c r="F21" s="45" t="n">
        <v>0</v>
      </c>
      <c r="G21" s="44" t="n">
        <v>0</v>
      </c>
      <c r="H21" s="45" t="n">
        <v>0</v>
      </c>
      <c r="I21" s="44" t="n">
        <v>0</v>
      </c>
      <c r="J21" s="45" t="n">
        <v>1673.13</v>
      </c>
      <c r="K21" s="44" t="n">
        <v>-1</v>
      </c>
    </row>
    <row r="22">
      <c r="A22" s="43" t="n">
        <v>18</v>
      </c>
      <c r="B22" s="43" t="inlineStr">
        <is>
          <t>Sushi Atelier</t>
        </is>
      </c>
      <c r="C22" s="44" t="n">
        <v>0.1</v>
      </c>
      <c r="D22" s="45" t="n">
        <v>0</v>
      </c>
      <c r="E22" s="45" t="n">
        <v>0</v>
      </c>
      <c r="F22" s="45" t="n">
        <v>0</v>
      </c>
      <c r="G22" s="44" t="n">
        <v>0</v>
      </c>
      <c r="H22" s="45" t="n">
        <v>0</v>
      </c>
      <c r="I22" s="44" t="n">
        <v>0</v>
      </c>
      <c r="J22" s="45" t="n">
        <v>2800.042222222222</v>
      </c>
      <c r="K22" s="44" t="n">
        <v>-1</v>
      </c>
    </row>
    <row r="23">
      <c r="A23" s="43" t="n">
        <v>19</v>
      </c>
      <c r="B23" s="43" t="inlineStr">
        <is>
          <t>Silk&amp;Spicy</t>
        </is>
      </c>
      <c r="C23" s="44" t="n">
        <v>0.15</v>
      </c>
      <c r="D23" s="45" t="n">
        <v>0</v>
      </c>
      <c r="E23" s="45" t="n">
        <v>0</v>
      </c>
      <c r="F23" s="45" t="n">
        <v>0</v>
      </c>
      <c r="G23" s="44" t="n">
        <v>0</v>
      </c>
      <c r="H23" s="45" t="n">
        <v>0</v>
      </c>
      <c r="I23" s="44" t="n">
        <v>0</v>
      </c>
      <c r="J23" s="45" t="n">
        <v>817.3633333333333</v>
      </c>
      <c r="K23" s="44" t="n">
        <v>-1</v>
      </c>
    </row>
    <row r="24">
      <c r="A24" s="43" t="n">
        <v>20</v>
      </c>
      <c r="B24" s="43" t="inlineStr">
        <is>
          <t>JOT OMA</t>
        </is>
      </c>
      <c r="C24" s="44" t="n">
        <v>0</v>
      </c>
      <c r="D24" s="45" t="n">
        <v>0</v>
      </c>
      <c r="E24" s="45" t="n">
        <v>0</v>
      </c>
      <c r="F24" s="45" t="n">
        <v>0</v>
      </c>
      <c r="G24" s="44" t="n">
        <v>0</v>
      </c>
      <c r="H24" s="45" t="n">
        <v>0</v>
      </c>
      <c r="I24" s="44" t="n">
        <v>0</v>
      </c>
      <c r="J24" s="45" t="n">
        <v>2018.938</v>
      </c>
      <c r="K24" s="44" t="n">
        <v>-1</v>
      </c>
    </row>
    <row r="25">
      <c r="A25" s="43" t="n">
        <v>21</v>
      </c>
      <c r="B25" s="43" t="inlineStr">
        <is>
          <t xml:space="preserve">HOŻA Argentine </t>
        </is>
      </c>
      <c r="C25" s="44" t="n">
        <v>0.19</v>
      </c>
      <c r="D25" s="45" t="n">
        <v>0</v>
      </c>
      <c r="E25" s="45" t="n">
        <v>0</v>
      </c>
      <c r="F25" s="45" t="n">
        <v>0</v>
      </c>
      <c r="G25" s="44" t="n">
        <v>0</v>
      </c>
      <c r="H25" s="45" t="n">
        <v>1021.56</v>
      </c>
      <c r="I25" s="44" t="n">
        <v>-1</v>
      </c>
      <c r="J25" s="45" t="n">
        <v>1021.56</v>
      </c>
      <c r="K25" s="44" t="n">
        <v>-1</v>
      </c>
    </row>
    <row r="26">
      <c r="A26" s="43" t="n">
        <v>22</v>
      </c>
      <c r="B26" s="43" t="inlineStr">
        <is>
          <t>BOSKO</t>
        </is>
      </c>
      <c r="C26" s="44" t="n">
        <v>0.2</v>
      </c>
      <c r="D26" s="45" t="n">
        <v>0</v>
      </c>
      <c r="E26" s="45" t="n">
        <v>0</v>
      </c>
      <c r="F26" s="45" t="n">
        <v>0</v>
      </c>
      <c r="G26" s="44" t="n">
        <v>0</v>
      </c>
      <c r="H26" s="45" t="n">
        <v>0</v>
      </c>
      <c r="I26" s="44" t="n">
        <v>0</v>
      </c>
      <c r="J26" s="45" t="n">
        <v>1863.543333333333</v>
      </c>
      <c r="K26" s="44" t="n">
        <v>-1</v>
      </c>
    </row>
    <row r="27">
      <c r="A27" s="43" t="n">
        <v>23</v>
      </c>
      <c r="B27" s="43" t="inlineStr">
        <is>
          <t>Blikle</t>
        </is>
      </c>
      <c r="C27" s="44" t="n">
        <v>0.15</v>
      </c>
      <c r="D27" s="45" t="n">
        <v>0</v>
      </c>
      <c r="E27" s="45" t="n">
        <v>0</v>
      </c>
      <c r="F27" s="45" t="n">
        <v>0</v>
      </c>
      <c r="G27" s="44" t="n">
        <v>0</v>
      </c>
      <c r="H27" s="45" t="n">
        <v>0</v>
      </c>
      <c r="I27" s="44" t="n">
        <v>0</v>
      </c>
      <c r="J27" s="45" t="n">
        <v>1683.356666666667</v>
      </c>
      <c r="K27" s="44" t="n">
        <v>-1</v>
      </c>
    </row>
    <row r="28">
      <c r="A28" s="43" t="n">
        <v>24</v>
      </c>
      <c r="B28" s="43" t="inlineStr">
        <is>
          <t>JOT Wilanów</t>
        </is>
      </c>
      <c r="C28" s="44" t="n">
        <v>0</v>
      </c>
      <c r="D28" s="45" t="n">
        <v>0</v>
      </c>
      <c r="E28" s="45" t="n">
        <v>0</v>
      </c>
      <c r="F28" s="45" t="n">
        <v>0</v>
      </c>
      <c r="G28" s="44" t="n">
        <v>0</v>
      </c>
      <c r="H28" s="45" t="n">
        <v>0</v>
      </c>
      <c r="I28" s="44" t="n">
        <v>0</v>
      </c>
      <c r="J28" s="45" t="n">
        <v>2361.483333333333</v>
      </c>
      <c r="K28" s="44" t="n">
        <v>-1</v>
      </c>
    </row>
    <row r="29">
      <c r="A29" s="43" t="n">
        <v>25</v>
      </c>
      <c r="B29" s="43" t="inlineStr">
        <is>
          <t>Blikle Placówki</t>
        </is>
      </c>
      <c r="C29" s="44" t="n">
        <v>0.15</v>
      </c>
      <c r="D29" s="45" t="n">
        <v>0</v>
      </c>
      <c r="E29" s="45" t="n">
        <v>0</v>
      </c>
      <c r="F29" s="45" t="n">
        <v>0</v>
      </c>
      <c r="G29" s="44" t="n">
        <v>0</v>
      </c>
      <c r="H29" s="45" t="n">
        <v>0</v>
      </c>
      <c r="I29" s="44" t="n">
        <v>0</v>
      </c>
      <c r="J29" s="45" t="n">
        <v>5204.47</v>
      </c>
      <c r="K29" s="44" t="n">
        <v>-1</v>
      </c>
    </row>
    <row r="30">
      <c r="A30" s="43" t="n">
        <v>26</v>
      </c>
      <c r="B30" s="43" t="inlineStr">
        <is>
          <t>Szkoła w Mińsku</t>
        </is>
      </c>
      <c r="C30" s="44" t="n">
        <v>0.1</v>
      </c>
      <c r="D30" s="45" t="n">
        <v>0</v>
      </c>
      <c r="E30" s="45" t="n">
        <v>0</v>
      </c>
      <c r="F30" s="45" t="n">
        <v>0</v>
      </c>
      <c r="G30" s="44" t="n">
        <v>0</v>
      </c>
      <c r="H30" s="45" t="n">
        <v>0</v>
      </c>
      <c r="I30" s="44" t="n">
        <v>0</v>
      </c>
      <c r="J30" s="45" t="n">
        <v>623.7233333333334</v>
      </c>
      <c r="K30" s="44" t="n">
        <v>-1</v>
      </c>
    </row>
    <row r="31">
      <c r="A31" s="43" t="n">
        <v>27</v>
      </c>
      <c r="B31" s="43" t="inlineStr">
        <is>
          <t>Fiori Foods</t>
        </is>
      </c>
      <c r="C31" s="44" t="n">
        <v>0</v>
      </c>
      <c r="D31" s="45" t="n">
        <v>0</v>
      </c>
      <c r="E31" s="45" t="n">
        <v>0</v>
      </c>
      <c r="F31" s="45" t="n">
        <v>0</v>
      </c>
      <c r="G31" s="44" t="n">
        <v>0</v>
      </c>
      <c r="H31" s="45" t="n">
        <v>0</v>
      </c>
      <c r="I31" s="44" t="n">
        <v>0</v>
      </c>
      <c r="J31" s="45" t="n">
        <v>1058.43</v>
      </c>
      <c r="K31" s="44" t="n">
        <v>-1</v>
      </c>
    </row>
    <row r="32">
      <c r="A32" s="43" t="n">
        <v>28</v>
      </c>
      <c r="B32" s="43" t="inlineStr">
        <is>
          <t>Pizzeria Italiana</t>
        </is>
      </c>
      <c r="C32" s="44" t="n">
        <v>0</v>
      </c>
      <c r="D32" s="45" t="n">
        <v>0</v>
      </c>
      <c r="E32" s="45" t="n">
        <v>0</v>
      </c>
      <c r="F32" s="45" t="n">
        <v>0</v>
      </c>
      <c r="G32" s="44" t="n">
        <v>0</v>
      </c>
      <c r="H32" s="45" t="n">
        <v>0</v>
      </c>
      <c r="I32" s="44" t="n">
        <v>0</v>
      </c>
      <c r="J32" s="45" t="n">
        <v>823.77625</v>
      </c>
      <c r="K32" s="44" t="n">
        <v>-1</v>
      </c>
    </row>
    <row r="33">
      <c r="A33" s="43" t="n">
        <v>29</v>
      </c>
      <c r="B33" s="43" t="inlineStr">
        <is>
          <t>Przedszkole Ciekawi Świata</t>
        </is>
      </c>
      <c r="C33" s="44" t="n">
        <v>0.1</v>
      </c>
      <c r="D33" s="45" t="n">
        <v>0</v>
      </c>
      <c r="E33" s="45" t="n">
        <v>0</v>
      </c>
      <c r="F33" s="45" t="n">
        <v>0</v>
      </c>
      <c r="G33" s="44" t="n">
        <v>0</v>
      </c>
      <c r="H33" s="45" t="n">
        <v>2361.92</v>
      </c>
      <c r="I33" s="44" t="n">
        <v>-1</v>
      </c>
      <c r="J33" s="45" t="n">
        <v>550.8525</v>
      </c>
      <c r="K33" s="44" t="n">
        <v>-1</v>
      </c>
    </row>
    <row r="34">
      <c r="A34" s="43" t="n">
        <v>30</v>
      </c>
      <c r="B34" s="43" t="inlineStr">
        <is>
          <t>Usagi Sushi</t>
        </is>
      </c>
      <c r="C34" s="44" t="n">
        <v>0.2</v>
      </c>
      <c r="D34" s="45" t="n">
        <v>0</v>
      </c>
      <c r="E34" s="45" t="n">
        <v>0</v>
      </c>
      <c r="F34" s="45" t="n">
        <v>0</v>
      </c>
      <c r="G34" s="44" t="n">
        <v>0</v>
      </c>
      <c r="H34" s="45" t="n">
        <v>0</v>
      </c>
      <c r="I34" s="44" t="n">
        <v>0</v>
      </c>
      <c r="J34" s="45" t="n">
        <v>853.5200000000001</v>
      </c>
      <c r="K34" s="44" t="n">
        <v>-1</v>
      </c>
    </row>
    <row r="35">
      <c r="A35" s="43" t="n">
        <v>31</v>
      </c>
      <c r="B35" s="43" t="inlineStr">
        <is>
          <t>Łochów</t>
        </is>
      </c>
      <c r="C35" s="44" t="n">
        <v>0.1</v>
      </c>
      <c r="D35" s="45" t="n">
        <v>0</v>
      </c>
      <c r="E35" s="45" t="n">
        <v>0</v>
      </c>
      <c r="F35" s="45" t="n">
        <v>0</v>
      </c>
      <c r="G35" s="44" t="n">
        <v>0</v>
      </c>
      <c r="H35" s="45" t="n">
        <v>1077.7</v>
      </c>
      <c r="I35" s="44" t="n">
        <v>-1</v>
      </c>
      <c r="J35" s="45" t="n">
        <v>914.048888888889</v>
      </c>
      <c r="K35" s="44" t="n">
        <v>-1</v>
      </c>
    </row>
    <row r="36">
      <c r="A36" s="43" t="n">
        <v>32</v>
      </c>
      <c r="B36" s="43" t="inlineStr">
        <is>
          <t>Królewska Kawa</t>
        </is>
      </c>
      <c r="C36" s="44" t="n">
        <v>0.15</v>
      </c>
      <c r="D36" s="45" t="n">
        <v>0</v>
      </c>
      <c r="E36" s="45" t="n">
        <v>0</v>
      </c>
      <c r="F36" s="45" t="n">
        <v>0</v>
      </c>
      <c r="G36" s="44" t="n">
        <v>0</v>
      </c>
      <c r="H36" s="45" t="n">
        <v>716.3200000000001</v>
      </c>
      <c r="I36" s="44" t="n">
        <v>-1</v>
      </c>
      <c r="J36" s="45" t="n">
        <v>1192.505</v>
      </c>
      <c r="K36" s="44" t="n">
        <v>-1</v>
      </c>
    </row>
    <row r="37">
      <c r="A37" s="43" t="n">
        <v>33</v>
      </c>
      <c r="B37" s="43" t="inlineStr">
        <is>
          <t>Silk&amp;Spicy GDAŃSK</t>
        </is>
      </c>
      <c r="C37" s="44" t="n">
        <v>0.15</v>
      </c>
      <c r="D37" s="45" t="n">
        <v>0</v>
      </c>
      <c r="E37" s="45" t="n">
        <v>0</v>
      </c>
      <c r="F37" s="45" t="n">
        <v>0</v>
      </c>
      <c r="G37" s="44" t="n">
        <v>0</v>
      </c>
      <c r="H37" s="45" t="n">
        <v>0</v>
      </c>
      <c r="I37" s="44" t="n">
        <v>0</v>
      </c>
      <c r="J37" s="45" t="n">
        <v>1143.9</v>
      </c>
      <c r="K37" s="44" t="n">
        <v>-1</v>
      </c>
    </row>
    <row r="38">
      <c r="A38" s="43" t="n">
        <v>34</v>
      </c>
      <c r="B38" s="43" t="inlineStr">
        <is>
          <t>Kaizen S.C</t>
        </is>
      </c>
      <c r="C38" s="44" t="n">
        <v>0</v>
      </c>
      <c r="D38" s="45" t="n">
        <v>0</v>
      </c>
      <c r="E38" s="45" t="n">
        <v>0</v>
      </c>
      <c r="F38" s="45" t="n">
        <v>0</v>
      </c>
      <c r="G38" s="44" t="n">
        <v>0</v>
      </c>
      <c r="H38" s="45" t="n">
        <v>0</v>
      </c>
      <c r="I38" s="44" t="n">
        <v>0</v>
      </c>
      <c r="J38" s="45" t="n">
        <v>269.7385714285714</v>
      </c>
      <c r="K38" s="44" t="n">
        <v>-1</v>
      </c>
    </row>
    <row r="39">
      <c r="A39" s="43" t="n">
        <v>35</v>
      </c>
      <c r="B39" s="43" t="inlineStr">
        <is>
          <t>Kaliska 20</t>
        </is>
      </c>
      <c r="C39" s="44" t="n">
        <v>0.15</v>
      </c>
      <c r="D39" s="45" t="n">
        <v>0</v>
      </c>
      <c r="E39" s="45" t="n">
        <v>0</v>
      </c>
      <c r="F39" s="45" t="n">
        <v>0</v>
      </c>
      <c r="G39" s="44" t="n">
        <v>0</v>
      </c>
      <c r="H39" s="45" t="n">
        <v>0</v>
      </c>
      <c r="I39" s="44" t="n">
        <v>0</v>
      </c>
      <c r="J39" s="45" t="n">
        <v>654.13</v>
      </c>
      <c r="K39" s="44" t="n">
        <v>-1</v>
      </c>
    </row>
    <row r="40">
      <c r="A40" s="43" t="n">
        <v>36</v>
      </c>
      <c r="B40" s="43" t="inlineStr">
        <is>
          <t>Szkoła w Mińsku - Magda</t>
        </is>
      </c>
      <c r="C40" s="44" t="n">
        <v>0.15</v>
      </c>
      <c r="D40" s="45" t="n">
        <v>0</v>
      </c>
      <c r="E40" s="45" t="n">
        <v>0</v>
      </c>
      <c r="F40" s="45" t="n">
        <v>0</v>
      </c>
      <c r="G40" s="44" t="n">
        <v>0</v>
      </c>
      <c r="H40" s="45" t="n">
        <v>0</v>
      </c>
      <c r="I40" s="44" t="n">
        <v>0</v>
      </c>
      <c r="J40" s="45" t="n">
        <v>1676.42</v>
      </c>
      <c r="K40" s="44" t="n">
        <v>-1</v>
      </c>
    </row>
    <row r="41">
      <c r="A41" s="43" t="n">
        <v>37</v>
      </c>
      <c r="B41" s="43" t="inlineStr">
        <is>
          <t>Activ Cafe</t>
        </is>
      </c>
      <c r="C41" s="44" t="n">
        <v>0.15</v>
      </c>
      <c r="D41" s="45" t="n">
        <v>0</v>
      </c>
      <c r="E41" s="45" t="n">
        <v>0</v>
      </c>
      <c r="F41" s="45" t="n">
        <v>0</v>
      </c>
      <c r="G41" s="44" t="n">
        <v>0</v>
      </c>
      <c r="H41" s="45" t="n">
        <v>0</v>
      </c>
      <c r="I41" s="44" t="n">
        <v>0</v>
      </c>
      <c r="J41" s="45" t="n">
        <v>301.3475</v>
      </c>
      <c r="K41" s="44" t="n">
        <v>-1</v>
      </c>
    </row>
    <row r="42">
      <c r="A42" s="43" t="n">
        <v>38</v>
      </c>
      <c r="B42" s="43" t="inlineStr">
        <is>
          <t>SMASZ IT DOLNA</t>
        </is>
      </c>
      <c r="C42" s="44" t="n">
        <v>0.1</v>
      </c>
      <c r="D42" s="45" t="n">
        <v>0</v>
      </c>
      <c r="E42" s="45" t="n">
        <v>0</v>
      </c>
      <c r="F42" s="45" t="n">
        <v>0</v>
      </c>
      <c r="G42" s="44" t="n">
        <v>0</v>
      </c>
      <c r="H42" s="45" t="n">
        <v>0</v>
      </c>
      <c r="I42" s="44" t="n">
        <v>0</v>
      </c>
      <c r="J42" s="45" t="n">
        <v>1982.184285714286</v>
      </c>
      <c r="K42" s="44" t="n">
        <v>-1</v>
      </c>
    </row>
    <row r="43">
      <c r="A43" s="43" t="n">
        <v>39</v>
      </c>
      <c r="B43" s="43" t="inlineStr">
        <is>
          <t>SMASZ IT SOLEC</t>
        </is>
      </c>
      <c r="C43" s="44" t="n">
        <v>0.1</v>
      </c>
      <c r="D43" s="45" t="n">
        <v>0</v>
      </c>
      <c r="E43" s="45" t="n">
        <v>0</v>
      </c>
      <c r="F43" s="45" t="n">
        <v>0</v>
      </c>
      <c r="G43" s="44" t="n">
        <v>0</v>
      </c>
      <c r="H43" s="45" t="n">
        <v>0</v>
      </c>
      <c r="I43" s="44" t="n">
        <v>0</v>
      </c>
      <c r="J43" s="45" t="n">
        <v>1423.808</v>
      </c>
      <c r="K43" s="44" t="n">
        <v>-1</v>
      </c>
    </row>
    <row r="44">
      <c r="A44" s="43" t="n">
        <v>40</v>
      </c>
      <c r="B44" s="43" t="inlineStr">
        <is>
          <t xml:space="preserve">Margariter Ros </t>
        </is>
      </c>
      <c r="C44" s="44" t="n">
        <v>0.18</v>
      </c>
      <c r="D44" s="45" t="n">
        <v>0</v>
      </c>
      <c r="E44" s="45" t="n">
        <v>0</v>
      </c>
      <c r="F44" s="45" t="n">
        <v>0</v>
      </c>
      <c r="G44" s="44" t="n">
        <v>0</v>
      </c>
      <c r="H44" s="45" t="n">
        <v>391.8</v>
      </c>
      <c r="I44" s="44" t="n">
        <v>-1</v>
      </c>
      <c r="J44" s="45" t="n">
        <v>837.9733333333334</v>
      </c>
      <c r="K44" s="44" t="n">
        <v>-1</v>
      </c>
    </row>
    <row r="45">
      <c r="A45" s="43" t="n">
        <v>41</v>
      </c>
      <c r="B45" s="43" t="inlineStr">
        <is>
          <t>Magu Sushi Instalatorowa</t>
        </is>
      </c>
      <c r="C45" s="44" t="n">
        <v>0.2</v>
      </c>
      <c r="D45" s="45" t="n">
        <v>0</v>
      </c>
      <c r="E45" s="45" t="n">
        <v>0</v>
      </c>
      <c r="F45" s="45" t="n">
        <v>0</v>
      </c>
      <c r="G45" s="44" t="n">
        <v>0</v>
      </c>
      <c r="H45" s="45" t="n">
        <v>0</v>
      </c>
      <c r="I45" s="44" t="n">
        <v>0</v>
      </c>
      <c r="J45" s="45" t="n">
        <v>749.9533333333334</v>
      </c>
      <c r="K45" s="44" t="n">
        <v>-1</v>
      </c>
    </row>
    <row r="46">
      <c r="A46" s="43" t="n">
        <v>42</v>
      </c>
      <c r="B46" s="43" t="inlineStr">
        <is>
          <t>Takumi</t>
        </is>
      </c>
      <c r="C46" s="44" t="n">
        <v>0.18</v>
      </c>
      <c r="D46" s="45" t="n">
        <v>0</v>
      </c>
      <c r="E46" s="45" t="n">
        <v>0</v>
      </c>
      <c r="F46" s="45" t="n">
        <v>0</v>
      </c>
      <c r="G46" s="44" t="n">
        <v>0</v>
      </c>
      <c r="H46" s="45" t="n">
        <v>0</v>
      </c>
      <c r="I46" s="44" t="n">
        <v>0</v>
      </c>
      <c r="J46" s="45" t="n">
        <v>100.23</v>
      </c>
      <c r="K46" s="44" t="n">
        <v>-1</v>
      </c>
    </row>
    <row r="47">
      <c r="A47" s="43" t="n">
        <v>43</v>
      </c>
      <c r="B47" s="43" t="inlineStr">
        <is>
          <t>Tres Toros</t>
        </is>
      </c>
      <c r="C47" s="44" t="n">
        <v>0.2</v>
      </c>
      <c r="D47" s="45" t="n">
        <v>0</v>
      </c>
      <c r="E47" s="45" t="n">
        <v>0</v>
      </c>
      <c r="F47" s="45" t="n">
        <v>0</v>
      </c>
      <c r="G47" s="44" t="n">
        <v>0</v>
      </c>
      <c r="H47" s="45" t="n">
        <v>0</v>
      </c>
      <c r="I47" s="44" t="n">
        <v>0</v>
      </c>
      <c r="J47" s="45" t="n">
        <v>316.21</v>
      </c>
      <c r="K47" s="44" t="n">
        <v>-1</v>
      </c>
    </row>
    <row r="48">
      <c r="A48" s="43" t="n">
        <v>44</v>
      </c>
      <c r="B48" s="43" t="inlineStr">
        <is>
          <t>Arizona Burger WOLSKA</t>
        </is>
      </c>
      <c r="C48" s="44" t="n">
        <v>0.18</v>
      </c>
      <c r="D48" s="45" t="n">
        <v>0</v>
      </c>
      <c r="E48" s="45" t="n">
        <v>0</v>
      </c>
      <c r="F48" s="45" t="n">
        <v>0</v>
      </c>
      <c r="G48" s="44" t="n">
        <v>0</v>
      </c>
      <c r="H48" s="45" t="n">
        <v>0</v>
      </c>
      <c r="I48" s="44" t="n">
        <v>0</v>
      </c>
      <c r="J48" s="45" t="n">
        <v>811.61</v>
      </c>
      <c r="K48" s="44" t="n">
        <v>-1</v>
      </c>
    </row>
    <row r="49">
      <c r="A49" s="43" t="n">
        <v>45</v>
      </c>
      <c r="B49" s="43" t="inlineStr">
        <is>
          <t>Legia Sports Bar</t>
        </is>
      </c>
      <c r="C49" s="44" t="n">
        <v>0.15</v>
      </c>
      <c r="D49" s="45" t="n">
        <v>0</v>
      </c>
      <c r="E49" s="45" t="n">
        <v>0</v>
      </c>
      <c r="F49" s="45" t="n">
        <v>0</v>
      </c>
      <c r="G49" s="44" t="n">
        <v>0</v>
      </c>
      <c r="H49" s="45" t="n">
        <v>0</v>
      </c>
      <c r="I49" s="44" t="n">
        <v>0</v>
      </c>
      <c r="J49" s="45" t="n">
        <v>2706.416666666667</v>
      </c>
      <c r="K49" s="44" t="n">
        <v>-1</v>
      </c>
    </row>
    <row r="50">
      <c r="A50" s="43" t="n">
        <v>46</v>
      </c>
      <c r="B50" s="43" t="inlineStr">
        <is>
          <t>Palermo Pruszków</t>
        </is>
      </c>
      <c r="C50" s="44" t="n">
        <v>0.2</v>
      </c>
      <c r="D50" s="45" t="n">
        <v>0</v>
      </c>
      <c r="E50" s="45" t="n">
        <v>0</v>
      </c>
      <c r="F50" s="45" t="n">
        <v>0</v>
      </c>
      <c r="G50" s="44" t="n">
        <v>0</v>
      </c>
      <c r="H50" s="45" t="n">
        <v>683.89</v>
      </c>
      <c r="I50" s="44" t="n">
        <v>-1</v>
      </c>
      <c r="J50" s="45" t="n">
        <v>2814.786666666667</v>
      </c>
      <c r="K50" s="44" t="n">
        <v>-1</v>
      </c>
    </row>
    <row r="51">
      <c r="A51" s="43" t="n">
        <v>47</v>
      </c>
      <c r="B51" s="43" t="inlineStr">
        <is>
          <t>SKALO - Prime WROCŁAW</t>
        </is>
      </c>
      <c r="C51" s="44" t="n">
        <v>0.1</v>
      </c>
      <c r="D51" s="45" t="n">
        <v>-619.65</v>
      </c>
      <c r="E51" s="45" t="n">
        <v>-344.0955962583423</v>
      </c>
      <c r="F51" s="45" t="n">
        <v>-275.5544037416577</v>
      </c>
      <c r="G51" s="44" t="n">
        <v>0</v>
      </c>
      <c r="H51" s="45" t="n">
        <v>653.77</v>
      </c>
      <c r="I51" s="44" t="n">
        <v>-1.947810392033896</v>
      </c>
      <c r="J51" s="45" t="n">
        <v>456.81</v>
      </c>
      <c r="K51" s="44" t="n">
        <v>-2.356472056215932</v>
      </c>
    </row>
    <row r="52">
      <c r="A52" s="46" t="n"/>
      <c r="B52" s="46" t="inlineStr">
        <is>
          <t>RAZEM</t>
        </is>
      </c>
      <c r="C52" s="47" t="n"/>
      <c r="D52" s="48" t="n">
        <v>10216.06</v>
      </c>
      <c r="E52" s="48" t="n">
        <v>6151.608346114745</v>
      </c>
      <c r="F52" s="48" t="n">
        <v>4064.451653885256</v>
      </c>
      <c r="G52" s="47" t="n">
        <v>0.3978492348209834</v>
      </c>
      <c r="H52" s="48" t="n">
        <v>21116.8</v>
      </c>
      <c r="I52" s="47" t="n"/>
      <c r="J52" s="48" t="n"/>
      <c r="K52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7B7B"/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57" t="inlineStr">
        <is>
          <t>INNE (nowi / nieprzypisani) - STYCZEŃ 2026</t>
        </is>
      </c>
    </row>
    <row r="2">
      <c r="A2" s="35" t="inlineStr">
        <is>
          <t>Aktywni: 9/164 | Sprzedaż: 12,907 zł | Zysk: 3,741 zł | Marża: 29.0%</t>
        </is>
      </c>
    </row>
    <row r="4">
      <c r="A4" s="58" t="inlineStr">
        <is>
          <t>Poz.</t>
        </is>
      </c>
      <c r="B4" s="58" t="inlineStr">
        <is>
          <t>Klient</t>
        </is>
      </c>
      <c r="C4" s="58" t="inlineStr">
        <is>
          <t>Rabat %</t>
        </is>
      </c>
      <c r="D4" s="58" t="inlineStr">
        <is>
          <t>Sprzedaż
Sty 26</t>
        </is>
      </c>
      <c r="E4" s="58" t="inlineStr">
        <is>
          <t>Koszt
Sty 26</t>
        </is>
      </c>
      <c r="F4" s="58" t="inlineStr">
        <is>
          <t>Zysk
Sty 26</t>
        </is>
      </c>
      <c r="G4" s="58" t="inlineStr">
        <is>
          <t>Marża</t>
        </is>
      </c>
      <c r="H4" s="58" t="inlineStr">
        <is>
          <t>Sprzedaż
Gru 25</t>
        </is>
      </c>
      <c r="I4" s="58" t="inlineStr">
        <is>
          <t>Zmiana
vs Gru 25</t>
        </is>
      </c>
      <c r="J4" s="58" t="inlineStr">
        <is>
          <t>Śr. mies.
2025</t>
        </is>
      </c>
      <c r="K4" s="58" t="inlineStr">
        <is>
          <t>Trend
vs średnia</t>
        </is>
      </c>
    </row>
    <row r="5">
      <c r="A5" s="37" t="n">
        <v>1</v>
      </c>
      <c r="B5" s="37" t="inlineStr">
        <is>
          <t>YUMMY FOOD</t>
        </is>
      </c>
      <c r="C5" s="38" t="n">
        <v>0</v>
      </c>
      <c r="D5" s="39" t="n">
        <v>3830.4</v>
      </c>
      <c r="E5" s="39" t="n">
        <v>2763.666504247989</v>
      </c>
      <c r="F5" s="39" t="n">
        <v>1066.733495752011</v>
      </c>
      <c r="G5" s="38" t="n">
        <v>0.2784914097096938</v>
      </c>
      <c r="H5" s="39" t="n">
        <v>787.6799999999999</v>
      </c>
      <c r="I5" s="38" t="n">
        <v>3.862888482632542</v>
      </c>
      <c r="J5" s="39" t="n">
        <v>787.6799999999999</v>
      </c>
      <c r="K5" s="38" t="n">
        <v>3.862888482632542</v>
      </c>
    </row>
    <row r="6">
      <c r="A6" s="40" t="n">
        <v>2</v>
      </c>
      <c r="B6" s="40" t="inlineStr">
        <is>
          <t>Polka</t>
        </is>
      </c>
      <c r="C6" s="41" t="n">
        <v>0</v>
      </c>
      <c r="D6" s="42" t="n">
        <v>2733.53</v>
      </c>
      <c r="E6" s="42" t="n">
        <v>1830.02015705446</v>
      </c>
      <c r="F6" s="42" t="n">
        <v>903.5098429455402</v>
      </c>
      <c r="G6" s="41" t="n">
        <v>0.3305285996296145</v>
      </c>
      <c r="H6" s="42" t="n">
        <v>3543.62</v>
      </c>
      <c r="I6" s="41" t="n">
        <v>-0.228605211619756</v>
      </c>
      <c r="J6" s="42" t="n">
        <v>3543.62</v>
      </c>
      <c r="K6" s="41" t="n">
        <v>-0.228605211619756</v>
      </c>
    </row>
    <row r="7">
      <c r="A7" s="37" t="n">
        <v>3</v>
      </c>
      <c r="B7" s="37" t="inlineStr">
        <is>
          <t>TO SUSHI LESZNOWOLA</t>
        </is>
      </c>
      <c r="C7" s="38" t="n">
        <v>0</v>
      </c>
      <c r="D7" s="39" t="n">
        <v>1600</v>
      </c>
      <c r="E7" s="39" t="n">
        <v>1127.262474326128</v>
      </c>
      <c r="F7" s="39" t="n">
        <v>472.7375256738719</v>
      </c>
      <c r="G7" s="38" t="n">
        <v>0.29546095354617</v>
      </c>
      <c r="H7" s="39" t="n">
        <v>320</v>
      </c>
      <c r="I7" s="38" t="n">
        <v>4</v>
      </c>
      <c r="J7" s="39" t="n">
        <v>320</v>
      </c>
      <c r="K7" s="38" t="n">
        <v>4</v>
      </c>
    </row>
    <row r="8">
      <c r="A8" s="40" t="n">
        <v>4</v>
      </c>
      <c r="B8" s="40" t="inlineStr">
        <is>
          <t>TO SUSHI DAWIDY BANKOWE</t>
        </is>
      </c>
      <c r="C8" s="41" t="n">
        <v>0</v>
      </c>
      <c r="D8" s="42" t="n">
        <v>1514.73</v>
      </c>
      <c r="E8" s="42" t="n">
        <v>1017.7024284516</v>
      </c>
      <c r="F8" s="42" t="n">
        <v>497.0275715484</v>
      </c>
      <c r="G8" s="41" t="n">
        <v>0.3281294828440712</v>
      </c>
      <c r="H8" s="42" t="n">
        <v>210</v>
      </c>
      <c r="I8" s="41" t="n">
        <v>6.213</v>
      </c>
      <c r="J8" s="42" t="n">
        <v>210</v>
      </c>
      <c r="K8" s="41" t="n">
        <v>6.213</v>
      </c>
    </row>
    <row r="9">
      <c r="A9" s="37" t="n">
        <v>5</v>
      </c>
      <c r="B9" s="37" t="inlineStr">
        <is>
          <t>SKALO</t>
        </is>
      </c>
      <c r="C9" s="38" t="n">
        <v>0</v>
      </c>
      <c r="D9" s="39" t="n">
        <v>1475.79</v>
      </c>
      <c r="E9" s="39" t="n">
        <v>1323.748588755377</v>
      </c>
      <c r="F9" s="39" t="n">
        <v>152.0414112446229</v>
      </c>
      <c r="G9" s="38" t="n">
        <v>0.1030237440588585</v>
      </c>
      <c r="H9" s="39" t="n">
        <v>181.3</v>
      </c>
      <c r="I9" s="38" t="n">
        <v>7.140044125758411</v>
      </c>
      <c r="J9" s="39" t="n">
        <v>1472.448</v>
      </c>
      <c r="K9" s="38" t="n">
        <v>0.002269689659668709</v>
      </c>
    </row>
    <row r="10">
      <c r="A10" s="40" t="n">
        <v>6</v>
      </c>
      <c r="B10" s="40" t="inlineStr">
        <is>
          <t>KALISKA 20</t>
        </is>
      </c>
      <c r="C10" s="41" t="n">
        <v>0</v>
      </c>
      <c r="D10" s="42" t="n">
        <v>800.62</v>
      </c>
      <c r="E10" s="42" t="n">
        <v>500.0881667180101</v>
      </c>
      <c r="F10" s="42" t="n">
        <v>300.5318332819899</v>
      </c>
      <c r="G10" s="41" t="n">
        <v>0.3753738768479303</v>
      </c>
      <c r="H10" s="42" t="n">
        <v>0</v>
      </c>
      <c r="I10" s="41" t="n">
        <v>0</v>
      </c>
      <c r="J10" s="42" t="n">
        <v>0</v>
      </c>
      <c r="K10" s="41" t="n">
        <v>0</v>
      </c>
    </row>
    <row r="11">
      <c r="A11" s="37" t="n">
        <v>7</v>
      </c>
      <c r="B11" s="37" t="inlineStr">
        <is>
          <t>Przystań Aloha - Basen Wodnik</t>
        </is>
      </c>
      <c r="C11" s="38" t="n">
        <v>0</v>
      </c>
      <c r="D11" s="39" t="n">
        <v>547.4400000000001</v>
      </c>
      <c r="E11" s="39" t="n">
        <v>250.4266589402746</v>
      </c>
      <c r="F11" s="39" t="n">
        <v>297.0133410597255</v>
      </c>
      <c r="G11" s="38" t="n">
        <v>0.5425495781450487</v>
      </c>
      <c r="H11" s="39" t="n">
        <v>1147.91</v>
      </c>
      <c r="I11" s="38" t="n">
        <v>-0.5230985007535434</v>
      </c>
      <c r="J11" s="39" t="n">
        <v>1147.91</v>
      </c>
      <c r="K11" s="38" t="n">
        <v>-0.5230985007535434</v>
      </c>
    </row>
    <row r="12">
      <c r="A12" s="40" t="n">
        <v>8</v>
      </c>
      <c r="B12" s="40" t="inlineStr">
        <is>
          <t xml:space="preserve">Małgosia </t>
        </is>
      </c>
      <c r="C12" s="41" t="n">
        <v>0</v>
      </c>
      <c r="D12" s="42" t="n">
        <v>365.42</v>
      </c>
      <c r="E12" s="42" t="n">
        <v>318.2250545952132</v>
      </c>
      <c r="F12" s="42" t="n">
        <v>47.19494540478684</v>
      </c>
      <c r="G12" s="41" t="n">
        <v>0.1291526063291195</v>
      </c>
      <c r="H12" s="42" t="n">
        <v>422.47</v>
      </c>
      <c r="I12" s="41" t="n">
        <v>-0.1350391743792459</v>
      </c>
      <c r="J12" s="42" t="n">
        <v>1031.426363636364</v>
      </c>
      <c r="K12" s="41" t="n">
        <v>-0.6457139230844487</v>
      </c>
    </row>
    <row r="13">
      <c r="A13" s="37" t="n">
        <v>9</v>
      </c>
      <c r="B13" s="37" t="inlineStr">
        <is>
          <t>Anna Żmudzka</t>
        </is>
      </c>
      <c r="C13" s="38" t="n">
        <v>0</v>
      </c>
      <c r="D13" s="39" t="n">
        <v>39.16</v>
      </c>
      <c r="E13" s="39" t="n">
        <v>35.12157031199221</v>
      </c>
      <c r="F13" s="39" t="n">
        <v>4.038429688007788</v>
      </c>
      <c r="G13" s="38" t="n">
        <v>0.1031263965272673</v>
      </c>
      <c r="H13" s="39" t="n">
        <v>48.35</v>
      </c>
      <c r="I13" s="38" t="n">
        <v>-0.1900723888314375</v>
      </c>
      <c r="J13" s="39" t="n">
        <v>70.38333333333334</v>
      </c>
      <c r="K13" s="38" t="n">
        <v>-0.4436182808430027</v>
      </c>
    </row>
    <row r="14">
      <c r="A14" s="43" t="n">
        <v>10</v>
      </c>
      <c r="B14" s="43" t="inlineStr">
        <is>
          <t xml:space="preserve">La Iberica </t>
        </is>
      </c>
      <c r="C14" s="44" t="n">
        <v>0</v>
      </c>
      <c r="D14" s="45" t="n">
        <v>0</v>
      </c>
      <c r="E14" s="45" t="n">
        <v>0</v>
      </c>
      <c r="F14" s="45" t="n">
        <v>0</v>
      </c>
      <c r="G14" s="44" t="n">
        <v>0</v>
      </c>
      <c r="H14" s="45" t="n">
        <v>0</v>
      </c>
      <c r="I14" s="44" t="n">
        <v>0</v>
      </c>
      <c r="J14" s="45" t="n">
        <v>2126.78</v>
      </c>
      <c r="K14" s="44" t="n">
        <v>-1</v>
      </c>
    </row>
    <row r="15">
      <c r="A15" s="43" t="n">
        <v>11</v>
      </c>
      <c r="B15" s="43" t="inlineStr">
        <is>
          <t>Quattro formaggi</t>
        </is>
      </c>
      <c r="C15" s="44" t="n">
        <v>0</v>
      </c>
      <c r="D15" s="45" t="n">
        <v>0</v>
      </c>
      <c r="E15" s="45" t="n">
        <v>0</v>
      </c>
      <c r="F15" s="45" t="n">
        <v>0</v>
      </c>
      <c r="G15" s="44" t="n">
        <v>0</v>
      </c>
      <c r="H15" s="45" t="n">
        <v>0</v>
      </c>
      <c r="I15" s="44" t="n">
        <v>0</v>
      </c>
      <c r="J15" s="45" t="n">
        <v>2310.198333333333</v>
      </c>
      <c r="K15" s="44" t="n">
        <v>-1</v>
      </c>
    </row>
    <row r="16">
      <c r="A16" s="43" t="n">
        <v>12</v>
      </c>
      <c r="B16" s="43" t="inlineStr">
        <is>
          <t>London</t>
        </is>
      </c>
      <c r="C16" s="44" t="n">
        <v>0</v>
      </c>
      <c r="D16" s="45" t="n">
        <v>0</v>
      </c>
      <c r="E16" s="45" t="n">
        <v>0</v>
      </c>
      <c r="F16" s="45" t="n">
        <v>0</v>
      </c>
      <c r="G16" s="44" t="n">
        <v>0</v>
      </c>
      <c r="H16" s="45" t="n">
        <v>0</v>
      </c>
      <c r="I16" s="44" t="n">
        <v>0</v>
      </c>
      <c r="J16" s="45" t="n">
        <v>2492.02</v>
      </c>
      <c r="K16" s="44" t="n">
        <v>-1</v>
      </c>
    </row>
    <row r="17">
      <c r="A17" s="43" t="n">
        <v>13</v>
      </c>
      <c r="B17" s="43" t="inlineStr">
        <is>
          <t>Restauracja Oddeca</t>
        </is>
      </c>
      <c r="C17" s="44" t="n">
        <v>0</v>
      </c>
      <c r="D17" s="45" t="n">
        <v>0</v>
      </c>
      <c r="E17" s="45" t="n">
        <v>0</v>
      </c>
      <c r="F17" s="45" t="n">
        <v>0</v>
      </c>
      <c r="G17" s="44" t="n">
        <v>0</v>
      </c>
      <c r="H17" s="45" t="n">
        <v>0</v>
      </c>
      <c r="I17" s="44" t="n">
        <v>0</v>
      </c>
      <c r="J17" s="45" t="n">
        <v>4455.82</v>
      </c>
      <c r="K17" s="44" t="n">
        <v>-1</v>
      </c>
    </row>
    <row r="18">
      <c r="A18" s="43" t="n">
        <v>14</v>
      </c>
      <c r="B18" s="43" t="inlineStr">
        <is>
          <t>El Botellon Fabryka Norblina</t>
        </is>
      </c>
      <c r="C18" s="44" t="n">
        <v>0</v>
      </c>
      <c r="D18" s="45" t="n">
        <v>0</v>
      </c>
      <c r="E18" s="45" t="n">
        <v>0</v>
      </c>
      <c r="F18" s="45" t="n">
        <v>0</v>
      </c>
      <c r="G18" s="44" t="n">
        <v>0</v>
      </c>
      <c r="H18" s="45" t="n">
        <v>0</v>
      </c>
      <c r="I18" s="44" t="n">
        <v>0</v>
      </c>
      <c r="J18" s="45" t="n">
        <v>3369.665</v>
      </c>
      <c r="K18" s="44" t="n">
        <v>-1</v>
      </c>
    </row>
    <row r="19">
      <c r="A19" s="43" t="n">
        <v>15</v>
      </c>
      <c r="B19" s="43" t="inlineStr">
        <is>
          <t>El Botellon Solec</t>
        </is>
      </c>
      <c r="C19" s="44" t="n">
        <v>0</v>
      </c>
      <c r="D19" s="45" t="n">
        <v>0</v>
      </c>
      <c r="E19" s="45" t="n">
        <v>0</v>
      </c>
      <c r="F19" s="45" t="n">
        <v>0</v>
      </c>
      <c r="G19" s="44" t="n">
        <v>0</v>
      </c>
      <c r="H19" s="45" t="n">
        <v>369.33</v>
      </c>
      <c r="I19" s="44" t="n">
        <v>-1</v>
      </c>
      <c r="J19" s="45" t="n">
        <v>2048.25</v>
      </c>
      <c r="K19" s="44" t="n">
        <v>-1</v>
      </c>
    </row>
    <row r="20">
      <c r="A20" s="43" t="n">
        <v>16</v>
      </c>
      <c r="B20" s="43" t="inlineStr">
        <is>
          <t>HALF</t>
        </is>
      </c>
      <c r="C20" s="44" t="n">
        <v>0</v>
      </c>
      <c r="D20" s="45" t="n">
        <v>0</v>
      </c>
      <c r="E20" s="45" t="n">
        <v>0</v>
      </c>
      <c r="F20" s="45" t="n">
        <v>0</v>
      </c>
      <c r="G20" s="44" t="n">
        <v>0</v>
      </c>
      <c r="H20" s="45" t="n">
        <v>0</v>
      </c>
      <c r="I20" s="44" t="n">
        <v>0</v>
      </c>
      <c r="J20" s="45" t="n">
        <v>1666.974</v>
      </c>
      <c r="K20" s="44" t="n">
        <v>-1</v>
      </c>
    </row>
    <row r="21">
      <c r="A21" s="43" t="n">
        <v>17</v>
      </c>
      <c r="B21" s="43" t="inlineStr">
        <is>
          <t>Sushi Mango</t>
        </is>
      </c>
      <c r="C21" s="44" t="n">
        <v>0</v>
      </c>
      <c r="D21" s="45" t="n">
        <v>0</v>
      </c>
      <c r="E21" s="45" t="n">
        <v>0</v>
      </c>
      <c r="F21" s="45" t="n">
        <v>0</v>
      </c>
      <c r="G21" s="44" t="n">
        <v>0</v>
      </c>
      <c r="H21" s="45" t="n">
        <v>0</v>
      </c>
      <c r="I21" s="44" t="n">
        <v>0</v>
      </c>
      <c r="J21" s="45" t="n">
        <v>2180.417142857143</v>
      </c>
      <c r="K21" s="44" t="n">
        <v>-1</v>
      </c>
    </row>
    <row r="22">
      <c r="A22" s="43" t="n">
        <v>18</v>
      </c>
      <c r="B22" s="43" t="inlineStr">
        <is>
          <t>ŻYWA KUCHNIA</t>
        </is>
      </c>
      <c r="C22" s="44" t="n">
        <v>0</v>
      </c>
      <c r="D22" s="45" t="n">
        <v>0</v>
      </c>
      <c r="E22" s="45" t="n">
        <v>0</v>
      </c>
      <c r="F22" s="45" t="n">
        <v>0</v>
      </c>
      <c r="G22" s="44" t="n">
        <v>0</v>
      </c>
      <c r="H22" s="45" t="n">
        <v>0</v>
      </c>
      <c r="I22" s="44" t="n">
        <v>0</v>
      </c>
      <c r="J22" s="45" t="n">
        <v>1581.63875</v>
      </c>
      <c r="K22" s="44" t="n">
        <v>-1</v>
      </c>
    </row>
    <row r="23">
      <c r="A23" s="43" t="n">
        <v>19</v>
      </c>
      <c r="B23" s="43" t="inlineStr">
        <is>
          <t>Monticello</t>
        </is>
      </c>
      <c r="C23" s="44" t="n">
        <v>0</v>
      </c>
      <c r="D23" s="45" t="n">
        <v>0</v>
      </c>
      <c r="E23" s="45" t="n">
        <v>0</v>
      </c>
      <c r="F23" s="45" t="n">
        <v>0</v>
      </c>
      <c r="G23" s="44" t="n">
        <v>0</v>
      </c>
      <c r="H23" s="45" t="n">
        <v>0</v>
      </c>
      <c r="I23" s="44" t="n">
        <v>0</v>
      </c>
      <c r="J23" s="45" t="n">
        <v>0</v>
      </c>
      <c r="K23" s="44" t="n">
        <v>0</v>
      </c>
    </row>
    <row r="24">
      <c r="A24" s="43" t="n">
        <v>20</v>
      </c>
      <c r="B24" s="43" t="inlineStr">
        <is>
          <t>Solivoda Mysia PGE</t>
        </is>
      </c>
      <c r="C24" s="44" t="n">
        <v>0</v>
      </c>
      <c r="D24" s="45" t="n">
        <v>0</v>
      </c>
      <c r="E24" s="45" t="n">
        <v>0</v>
      </c>
      <c r="F24" s="45" t="n">
        <v>0</v>
      </c>
      <c r="G24" s="44" t="n">
        <v>0</v>
      </c>
      <c r="H24" s="45" t="n">
        <v>0</v>
      </c>
      <c r="I24" s="44" t="n">
        <v>0</v>
      </c>
      <c r="J24" s="45" t="n">
        <v>0</v>
      </c>
      <c r="K24" s="44" t="n">
        <v>0</v>
      </c>
    </row>
    <row r="25">
      <c r="A25" s="43" t="n">
        <v>21</v>
      </c>
      <c r="B25" s="43" t="inlineStr">
        <is>
          <t>Miodowa</t>
        </is>
      </c>
      <c r="C25" s="44" t="n">
        <v>0</v>
      </c>
      <c r="D25" s="45" t="n">
        <v>0</v>
      </c>
      <c r="E25" s="45" t="n">
        <v>0</v>
      </c>
      <c r="F25" s="45" t="n">
        <v>0</v>
      </c>
      <c r="G25" s="44" t="n">
        <v>0</v>
      </c>
      <c r="H25" s="45" t="n">
        <v>0</v>
      </c>
      <c r="I25" s="44" t="n">
        <v>0</v>
      </c>
      <c r="J25" s="45" t="n">
        <v>1124.57</v>
      </c>
      <c r="K25" s="44" t="n">
        <v>-1</v>
      </c>
    </row>
    <row r="26">
      <c r="A26" s="43" t="n">
        <v>22</v>
      </c>
      <c r="B26" s="43" t="inlineStr">
        <is>
          <t>Street Polska</t>
        </is>
      </c>
      <c r="C26" s="44" t="n">
        <v>0</v>
      </c>
      <c r="D26" s="45" t="n">
        <v>0</v>
      </c>
      <c r="E26" s="45" t="n">
        <v>0</v>
      </c>
      <c r="F26" s="45" t="n">
        <v>0</v>
      </c>
      <c r="G26" s="44" t="n">
        <v>0</v>
      </c>
      <c r="H26" s="45" t="n">
        <v>0</v>
      </c>
      <c r="I26" s="44" t="n">
        <v>0</v>
      </c>
      <c r="J26" s="45" t="n">
        <v>0</v>
      </c>
      <c r="K26" s="44" t="n">
        <v>0</v>
      </c>
    </row>
    <row r="27">
      <c r="A27" s="43" t="n">
        <v>23</v>
      </c>
      <c r="B27" s="43" t="inlineStr">
        <is>
          <t>Bali Bali</t>
        </is>
      </c>
      <c r="C27" s="44" t="n">
        <v>0</v>
      </c>
      <c r="D27" s="45" t="n">
        <v>0</v>
      </c>
      <c r="E27" s="45" t="n">
        <v>0</v>
      </c>
      <c r="F27" s="45" t="n">
        <v>0</v>
      </c>
      <c r="G27" s="44" t="n">
        <v>0</v>
      </c>
      <c r="H27" s="45" t="n">
        <v>0</v>
      </c>
      <c r="I27" s="44" t="n">
        <v>0</v>
      </c>
      <c r="J27" s="45" t="n">
        <v>0</v>
      </c>
      <c r="K27" s="44" t="n">
        <v>0</v>
      </c>
    </row>
    <row r="28">
      <c r="A28" s="43" t="n">
        <v>24</v>
      </c>
      <c r="B28" s="43" t="inlineStr">
        <is>
          <t>Krzysiek Bogdanowicz</t>
        </is>
      </c>
      <c r="C28" s="44" t="n">
        <v>0</v>
      </c>
      <c r="D28" s="45" t="n">
        <v>0</v>
      </c>
      <c r="E28" s="45" t="n">
        <v>0</v>
      </c>
      <c r="F28" s="45" t="n">
        <v>0</v>
      </c>
      <c r="G28" s="44" t="n">
        <v>0</v>
      </c>
      <c r="H28" s="45" t="n">
        <v>0</v>
      </c>
      <c r="I28" s="44" t="n">
        <v>0</v>
      </c>
      <c r="J28" s="45" t="n">
        <v>0</v>
      </c>
      <c r="K28" s="44" t="n">
        <v>0</v>
      </c>
    </row>
    <row r="29">
      <c r="A29" s="43" t="n">
        <v>25</v>
      </c>
      <c r="B29" s="43" t="inlineStr">
        <is>
          <t>Sushi Wesoła 2</t>
        </is>
      </c>
      <c r="C29" s="44" t="n">
        <v>0</v>
      </c>
      <c r="D29" s="45" t="n">
        <v>0</v>
      </c>
      <c r="E29" s="45" t="n">
        <v>0</v>
      </c>
      <c r="F29" s="45" t="n">
        <v>0</v>
      </c>
      <c r="G29" s="44" t="n">
        <v>0</v>
      </c>
      <c r="H29" s="45" t="n">
        <v>0</v>
      </c>
      <c r="I29" s="44" t="n">
        <v>0</v>
      </c>
      <c r="J29" s="45" t="n">
        <v>1151.46</v>
      </c>
      <c r="K29" s="44" t="n">
        <v>-1</v>
      </c>
    </row>
    <row r="30">
      <c r="A30" s="43" t="n">
        <v>26</v>
      </c>
      <c r="B30" s="43" t="inlineStr">
        <is>
          <t>Forno Powiśle</t>
        </is>
      </c>
      <c r="C30" s="44" t="n">
        <v>0</v>
      </c>
      <c r="D30" s="45" t="n">
        <v>0</v>
      </c>
      <c r="E30" s="45" t="n">
        <v>0</v>
      </c>
      <c r="F30" s="45" t="n">
        <v>0</v>
      </c>
      <c r="G30" s="44" t="n">
        <v>0</v>
      </c>
      <c r="H30" s="45" t="n">
        <v>0</v>
      </c>
      <c r="I30" s="44" t="n">
        <v>0</v>
      </c>
      <c r="J30" s="45" t="n">
        <v>0</v>
      </c>
      <c r="K30" s="44" t="n">
        <v>0</v>
      </c>
    </row>
    <row r="31">
      <c r="A31" s="43" t="n">
        <v>27</v>
      </c>
      <c r="B31" s="43" t="inlineStr">
        <is>
          <t>El Botellon Wilanów</t>
        </is>
      </c>
      <c r="C31" s="44" t="n">
        <v>0</v>
      </c>
      <c r="D31" s="45" t="n">
        <v>0</v>
      </c>
      <c r="E31" s="45" t="n">
        <v>0</v>
      </c>
      <c r="F31" s="45" t="n">
        <v>0</v>
      </c>
      <c r="G31" s="44" t="n">
        <v>0</v>
      </c>
      <c r="H31" s="45" t="n">
        <v>0</v>
      </c>
      <c r="I31" s="44" t="n">
        <v>0</v>
      </c>
      <c r="J31" s="45" t="n">
        <v>0</v>
      </c>
      <c r="K31" s="44" t="n">
        <v>0</v>
      </c>
    </row>
    <row r="32">
      <c r="A32" s="43" t="n">
        <v>28</v>
      </c>
      <c r="B32" s="43" t="inlineStr">
        <is>
          <t xml:space="preserve">Ochota na sushi </t>
        </is>
      </c>
      <c r="C32" s="44" t="n">
        <v>0</v>
      </c>
      <c r="D32" s="45" t="n">
        <v>0</v>
      </c>
      <c r="E32" s="45" t="n">
        <v>0</v>
      </c>
      <c r="F32" s="45" t="n">
        <v>0</v>
      </c>
      <c r="G32" s="44" t="n">
        <v>0</v>
      </c>
      <c r="H32" s="45" t="n">
        <v>0</v>
      </c>
      <c r="I32" s="44" t="n">
        <v>0</v>
      </c>
      <c r="J32" s="45" t="n">
        <v>0</v>
      </c>
      <c r="K32" s="44" t="n">
        <v>0</v>
      </c>
    </row>
    <row r="33">
      <c r="A33" s="43" t="n">
        <v>29</v>
      </c>
      <c r="B33" s="43" t="inlineStr">
        <is>
          <t xml:space="preserve">Francuska </t>
        </is>
      </c>
      <c r="C33" s="44" t="n">
        <v>0</v>
      </c>
      <c r="D33" s="45" t="n">
        <v>0</v>
      </c>
      <c r="E33" s="45" t="n">
        <v>0</v>
      </c>
      <c r="F33" s="45" t="n">
        <v>0</v>
      </c>
      <c r="G33" s="44" t="n">
        <v>0</v>
      </c>
      <c r="H33" s="45" t="n">
        <v>0</v>
      </c>
      <c r="I33" s="44" t="n">
        <v>0</v>
      </c>
      <c r="J33" s="45" t="n">
        <v>2434.68</v>
      </c>
      <c r="K33" s="44" t="n">
        <v>-1</v>
      </c>
    </row>
    <row r="34">
      <c r="A34" s="43" t="n">
        <v>30</v>
      </c>
      <c r="B34" s="43" t="inlineStr">
        <is>
          <t>Hubita / The Botanist</t>
        </is>
      </c>
      <c r="C34" s="44" t="n">
        <v>0</v>
      </c>
      <c r="D34" s="45" t="n">
        <v>0</v>
      </c>
      <c r="E34" s="45" t="n">
        <v>0</v>
      </c>
      <c r="F34" s="45" t="n">
        <v>0</v>
      </c>
      <c r="G34" s="44" t="n">
        <v>0</v>
      </c>
      <c r="H34" s="45" t="n">
        <v>0</v>
      </c>
      <c r="I34" s="44" t="n">
        <v>0</v>
      </c>
      <c r="J34" s="45" t="n">
        <v>0</v>
      </c>
      <c r="K34" s="44" t="n">
        <v>0</v>
      </c>
    </row>
    <row r="35">
      <c r="A35" s="43" t="n">
        <v>31</v>
      </c>
      <c r="B35" s="43" t="inlineStr">
        <is>
          <t>Szafran-Wedel 2</t>
        </is>
      </c>
      <c r="C35" s="44" t="n">
        <v>0</v>
      </c>
      <c r="D35" s="45" t="n">
        <v>0</v>
      </c>
      <c r="E35" s="45" t="n">
        <v>0</v>
      </c>
      <c r="F35" s="45" t="n">
        <v>0</v>
      </c>
      <c r="G35" s="44" t="n">
        <v>0</v>
      </c>
      <c r="H35" s="45" t="n">
        <v>0</v>
      </c>
      <c r="I35" s="44" t="n">
        <v>0</v>
      </c>
      <c r="J35" s="45" t="n">
        <v>835.095</v>
      </c>
      <c r="K35" s="44" t="n">
        <v>-1</v>
      </c>
    </row>
    <row r="36">
      <c r="A36" s="43" t="n">
        <v>32</v>
      </c>
      <c r="B36" s="43" t="inlineStr">
        <is>
          <t>Blue Restauracja</t>
        </is>
      </c>
      <c r="C36" s="44" t="n">
        <v>0</v>
      </c>
      <c r="D36" s="45" t="n">
        <v>0</v>
      </c>
      <c r="E36" s="45" t="n">
        <v>0</v>
      </c>
      <c r="F36" s="45" t="n">
        <v>0</v>
      </c>
      <c r="G36" s="44" t="n">
        <v>0</v>
      </c>
      <c r="H36" s="45" t="n">
        <v>0</v>
      </c>
      <c r="I36" s="44" t="n">
        <v>0</v>
      </c>
      <c r="J36" s="45" t="n">
        <v>2609.805</v>
      </c>
      <c r="K36" s="44" t="n">
        <v>-1</v>
      </c>
    </row>
    <row r="37">
      <c r="A37" s="43" t="n">
        <v>33</v>
      </c>
      <c r="B37" s="43" t="inlineStr">
        <is>
          <t>Silk&amp;Spicy BROWARY 2</t>
        </is>
      </c>
      <c r="C37" s="44" t="n">
        <v>0</v>
      </c>
      <c r="D37" s="45" t="n">
        <v>0</v>
      </c>
      <c r="E37" s="45" t="n">
        <v>0</v>
      </c>
      <c r="F37" s="45" t="n">
        <v>0</v>
      </c>
      <c r="G37" s="44" t="n">
        <v>0</v>
      </c>
      <c r="H37" s="45" t="n">
        <v>0</v>
      </c>
      <c r="I37" s="44" t="n">
        <v>0</v>
      </c>
      <c r="J37" s="45" t="n">
        <v>0</v>
      </c>
      <c r="K37" s="44" t="n">
        <v>0</v>
      </c>
    </row>
    <row r="38">
      <c r="A38" s="43" t="n">
        <v>34</v>
      </c>
      <c r="B38" s="43" t="inlineStr">
        <is>
          <t>eat me</t>
        </is>
      </c>
      <c r="C38" s="44" t="n">
        <v>0</v>
      </c>
      <c r="D38" s="45" t="n">
        <v>0</v>
      </c>
      <c r="E38" s="45" t="n">
        <v>0</v>
      </c>
      <c r="F38" s="45" t="n">
        <v>0</v>
      </c>
      <c r="G38" s="44" t="n">
        <v>0</v>
      </c>
      <c r="H38" s="45" t="n">
        <v>0</v>
      </c>
      <c r="I38" s="44" t="n">
        <v>0</v>
      </c>
      <c r="J38" s="45" t="n">
        <v>13545.85714285714</v>
      </c>
      <c r="K38" s="44" t="n">
        <v>-1</v>
      </c>
    </row>
    <row r="39">
      <c r="A39" s="43" t="n">
        <v>35</v>
      </c>
      <c r="B39" s="43" t="inlineStr">
        <is>
          <t>Selavi</t>
        </is>
      </c>
      <c r="C39" s="44" t="n">
        <v>0</v>
      </c>
      <c r="D39" s="45" t="n">
        <v>0</v>
      </c>
      <c r="E39" s="45" t="n">
        <v>0</v>
      </c>
      <c r="F39" s="45" t="n">
        <v>0</v>
      </c>
      <c r="G39" s="44" t="n">
        <v>0</v>
      </c>
      <c r="H39" s="45" t="n">
        <v>0</v>
      </c>
      <c r="I39" s="44" t="n">
        <v>0</v>
      </c>
      <c r="J39" s="45" t="n">
        <v>5858.905</v>
      </c>
      <c r="K39" s="44" t="n">
        <v>-1</v>
      </c>
    </row>
    <row r="40">
      <c r="A40" s="43" t="n">
        <v>36</v>
      </c>
      <c r="B40" s="43" t="inlineStr">
        <is>
          <t>Gruby Josek</t>
        </is>
      </c>
      <c r="C40" s="44" t="n">
        <v>0</v>
      </c>
      <c r="D40" s="45" t="n">
        <v>0</v>
      </c>
      <c r="E40" s="45" t="n">
        <v>0</v>
      </c>
      <c r="F40" s="45" t="n">
        <v>0</v>
      </c>
      <c r="G40" s="44" t="n">
        <v>0</v>
      </c>
      <c r="H40" s="45" t="n">
        <v>0</v>
      </c>
      <c r="I40" s="44" t="n">
        <v>0</v>
      </c>
      <c r="J40" s="45" t="n">
        <v>0</v>
      </c>
      <c r="K40" s="44" t="n">
        <v>0</v>
      </c>
    </row>
    <row r="41">
      <c r="A41" s="43" t="n">
        <v>37</v>
      </c>
      <c r="B41" s="43" t="inlineStr">
        <is>
          <t>PRQ GDYNIA</t>
        </is>
      </c>
      <c r="C41" s="44" t="n">
        <v>0</v>
      </c>
      <c r="D41" s="45" t="n">
        <v>0</v>
      </c>
      <c r="E41" s="45" t="n">
        <v>0</v>
      </c>
      <c r="F41" s="45" t="n">
        <v>0</v>
      </c>
      <c r="G41" s="44" t="n">
        <v>0</v>
      </c>
      <c r="H41" s="45" t="n">
        <v>0</v>
      </c>
      <c r="I41" s="44" t="n">
        <v>0</v>
      </c>
      <c r="J41" s="45" t="n">
        <v>1369.325</v>
      </c>
      <c r="K41" s="44" t="n">
        <v>-1</v>
      </c>
    </row>
    <row r="42">
      <c r="A42" s="43" t="n">
        <v>38</v>
      </c>
      <c r="B42" s="43" t="inlineStr">
        <is>
          <t>Tran Tran</t>
        </is>
      </c>
      <c r="C42" s="44" t="n">
        <v>0</v>
      </c>
      <c r="D42" s="45" t="n">
        <v>0</v>
      </c>
      <c r="E42" s="45" t="n">
        <v>0</v>
      </c>
      <c r="F42" s="45" t="n">
        <v>0</v>
      </c>
      <c r="G42" s="44" t="n">
        <v>0</v>
      </c>
      <c r="H42" s="45" t="n">
        <v>0</v>
      </c>
      <c r="I42" s="44" t="n">
        <v>0</v>
      </c>
      <c r="J42" s="45" t="n">
        <v>183.945</v>
      </c>
      <c r="K42" s="44" t="n">
        <v>-1</v>
      </c>
    </row>
    <row r="43">
      <c r="A43" s="43" t="n">
        <v>39</v>
      </c>
      <c r="B43" s="43" t="inlineStr">
        <is>
          <t>Sushi Wesoła</t>
        </is>
      </c>
      <c r="C43" s="44" t="n">
        <v>0</v>
      </c>
      <c r="D43" s="45" t="n">
        <v>0</v>
      </c>
      <c r="E43" s="45" t="n">
        <v>0</v>
      </c>
      <c r="F43" s="45" t="n">
        <v>0</v>
      </c>
      <c r="G43" s="44" t="n">
        <v>0</v>
      </c>
      <c r="H43" s="45" t="n">
        <v>0</v>
      </c>
      <c r="I43" s="44" t="n">
        <v>0</v>
      </c>
      <c r="J43" s="45" t="n">
        <v>0</v>
      </c>
      <c r="K43" s="44" t="n">
        <v>0</v>
      </c>
    </row>
    <row r="44">
      <c r="A44" s="43" t="n">
        <v>40</v>
      </c>
      <c r="B44" s="43" t="inlineStr">
        <is>
          <t>MIZU</t>
        </is>
      </c>
      <c r="C44" s="44" t="n">
        <v>0</v>
      </c>
      <c r="D44" s="45" t="n">
        <v>0</v>
      </c>
      <c r="E44" s="45" t="n">
        <v>0</v>
      </c>
      <c r="F44" s="45" t="n">
        <v>0</v>
      </c>
      <c r="G44" s="44" t="n">
        <v>0</v>
      </c>
      <c r="H44" s="45" t="n">
        <v>0</v>
      </c>
      <c r="I44" s="44" t="n">
        <v>0</v>
      </c>
      <c r="J44" s="45" t="n">
        <v>0</v>
      </c>
      <c r="K44" s="44" t="n">
        <v>0</v>
      </c>
    </row>
    <row r="45">
      <c r="A45" s="43" t="n">
        <v>41</v>
      </c>
      <c r="B45" s="43" t="inlineStr">
        <is>
          <t>Bernard</t>
        </is>
      </c>
      <c r="C45" s="44" t="n">
        <v>0</v>
      </c>
      <c r="D45" s="45" t="n">
        <v>0</v>
      </c>
      <c r="E45" s="45" t="n">
        <v>0</v>
      </c>
      <c r="F45" s="45" t="n">
        <v>0</v>
      </c>
      <c r="G45" s="44" t="n">
        <v>0</v>
      </c>
      <c r="H45" s="45" t="n">
        <v>0</v>
      </c>
      <c r="I45" s="44" t="n">
        <v>0</v>
      </c>
      <c r="J45" s="45" t="n">
        <v>0</v>
      </c>
      <c r="K45" s="44" t="n">
        <v>0</v>
      </c>
    </row>
    <row r="46">
      <c r="A46" s="43" t="n">
        <v>42</v>
      </c>
      <c r="B46" s="43" t="inlineStr">
        <is>
          <t>Sakana Browary Warszawskie</t>
        </is>
      </c>
      <c r="C46" s="44" t="n">
        <v>0</v>
      </c>
      <c r="D46" s="45" t="n">
        <v>0</v>
      </c>
      <c r="E46" s="45" t="n">
        <v>0</v>
      </c>
      <c r="F46" s="45" t="n">
        <v>0</v>
      </c>
      <c r="G46" s="44" t="n">
        <v>0</v>
      </c>
      <c r="H46" s="45" t="n">
        <v>0</v>
      </c>
      <c r="I46" s="44" t="n">
        <v>0</v>
      </c>
      <c r="J46" s="45" t="n">
        <v>0</v>
      </c>
      <c r="K46" s="44" t="n">
        <v>0</v>
      </c>
    </row>
    <row r="47">
      <c r="A47" s="43" t="n">
        <v>43</v>
      </c>
      <c r="B47" s="43" t="inlineStr">
        <is>
          <t>AGLI AMICI</t>
        </is>
      </c>
      <c r="C47" s="44" t="n">
        <v>0</v>
      </c>
      <c r="D47" s="45" t="n">
        <v>0</v>
      </c>
      <c r="E47" s="45" t="n">
        <v>0</v>
      </c>
      <c r="F47" s="45" t="n">
        <v>0</v>
      </c>
      <c r="G47" s="44" t="n">
        <v>0</v>
      </c>
      <c r="H47" s="45" t="n">
        <v>0</v>
      </c>
      <c r="I47" s="44" t="n">
        <v>0</v>
      </c>
      <c r="J47" s="45" t="n">
        <v>1384.96</v>
      </c>
      <c r="K47" s="44" t="n">
        <v>-1</v>
      </c>
    </row>
    <row r="48">
      <c r="A48" s="43" t="n">
        <v>44</v>
      </c>
      <c r="B48" s="43" t="inlineStr">
        <is>
          <t>Sole Pizzeria</t>
        </is>
      </c>
      <c r="C48" s="44" t="n">
        <v>0</v>
      </c>
      <c r="D48" s="45" t="n">
        <v>0</v>
      </c>
      <c r="E48" s="45" t="n">
        <v>0</v>
      </c>
      <c r="F48" s="45" t="n">
        <v>0</v>
      </c>
      <c r="G48" s="44" t="n">
        <v>0</v>
      </c>
      <c r="H48" s="45" t="n">
        <v>0</v>
      </c>
      <c r="I48" s="44" t="n">
        <v>0</v>
      </c>
      <c r="J48" s="45" t="n">
        <v>0</v>
      </c>
      <c r="K48" s="44" t="n">
        <v>0</v>
      </c>
    </row>
    <row r="49">
      <c r="A49" s="43" t="n">
        <v>45</v>
      </c>
      <c r="B49" s="43" t="inlineStr">
        <is>
          <t>Larte Italian</t>
        </is>
      </c>
      <c r="C49" s="44" t="n">
        <v>0</v>
      </c>
      <c r="D49" s="45" t="n">
        <v>0</v>
      </c>
      <c r="E49" s="45" t="n">
        <v>0</v>
      </c>
      <c r="F49" s="45" t="n">
        <v>0</v>
      </c>
      <c r="G49" s="44" t="n">
        <v>0</v>
      </c>
      <c r="H49" s="45" t="n">
        <v>0</v>
      </c>
      <c r="I49" s="44" t="n">
        <v>0</v>
      </c>
      <c r="J49" s="45" t="n">
        <v>0</v>
      </c>
      <c r="K49" s="44" t="n">
        <v>0</v>
      </c>
    </row>
    <row r="50">
      <c r="A50" s="43" t="n">
        <v>46</v>
      </c>
      <c r="B50" s="43" t="inlineStr">
        <is>
          <t>Bistro Dowoli</t>
        </is>
      </c>
      <c r="C50" s="44" t="n">
        <v>0</v>
      </c>
      <c r="D50" s="45" t="n">
        <v>0</v>
      </c>
      <c r="E50" s="45" t="n">
        <v>0</v>
      </c>
      <c r="F50" s="45" t="n">
        <v>0</v>
      </c>
      <c r="G50" s="44" t="n">
        <v>0</v>
      </c>
      <c r="H50" s="45" t="n">
        <v>0</v>
      </c>
      <c r="I50" s="44" t="n">
        <v>0</v>
      </c>
      <c r="J50" s="45" t="n">
        <v>0</v>
      </c>
      <c r="K50" s="44" t="n">
        <v>0</v>
      </c>
    </row>
    <row r="51">
      <c r="A51" s="43" t="n">
        <v>47</v>
      </c>
      <c r="B51" s="43" t="inlineStr">
        <is>
          <t>RUNO</t>
        </is>
      </c>
      <c r="C51" s="44" t="n">
        <v>0</v>
      </c>
      <c r="D51" s="45" t="n">
        <v>0</v>
      </c>
      <c r="E51" s="45" t="n">
        <v>0</v>
      </c>
      <c r="F51" s="45" t="n">
        <v>0</v>
      </c>
      <c r="G51" s="44" t="n">
        <v>0</v>
      </c>
      <c r="H51" s="45" t="n">
        <v>0</v>
      </c>
      <c r="I51" s="44" t="n">
        <v>0</v>
      </c>
      <c r="J51" s="45" t="n">
        <v>0</v>
      </c>
      <c r="K51" s="44" t="n">
        <v>0</v>
      </c>
    </row>
    <row r="52">
      <c r="A52" s="43" t="n">
        <v>48</v>
      </c>
      <c r="B52" s="43" t="inlineStr">
        <is>
          <t>Ultramalina 2</t>
        </is>
      </c>
      <c r="C52" s="44" t="n">
        <v>0</v>
      </c>
      <c r="D52" s="45" t="n">
        <v>0</v>
      </c>
      <c r="E52" s="45" t="n">
        <v>0</v>
      </c>
      <c r="F52" s="45" t="n">
        <v>0</v>
      </c>
      <c r="G52" s="44" t="n">
        <v>0</v>
      </c>
      <c r="H52" s="45" t="n">
        <v>0</v>
      </c>
      <c r="I52" s="44" t="n">
        <v>0</v>
      </c>
      <c r="J52" s="45" t="n">
        <v>0</v>
      </c>
      <c r="K52" s="44" t="n">
        <v>0</v>
      </c>
    </row>
    <row r="53">
      <c r="A53" s="43" t="n">
        <v>49</v>
      </c>
      <c r="B53" s="43" t="inlineStr">
        <is>
          <t xml:space="preserve">SHIN SUSHI </t>
        </is>
      </c>
      <c r="C53" s="44" t="n">
        <v>0</v>
      </c>
      <c r="D53" s="45" t="n">
        <v>0</v>
      </c>
      <c r="E53" s="45" t="n">
        <v>0</v>
      </c>
      <c r="F53" s="45" t="n">
        <v>0</v>
      </c>
      <c r="G53" s="44" t="n">
        <v>0</v>
      </c>
      <c r="H53" s="45" t="n">
        <v>0</v>
      </c>
      <c r="I53" s="44" t="n">
        <v>0</v>
      </c>
      <c r="J53" s="45" t="n">
        <v>0</v>
      </c>
      <c r="K53" s="44" t="n">
        <v>0</v>
      </c>
    </row>
    <row r="54">
      <c r="A54" s="43" t="n">
        <v>50</v>
      </c>
      <c r="B54" s="43" t="inlineStr">
        <is>
          <t>Street Blue City</t>
        </is>
      </c>
      <c r="C54" s="44" t="n">
        <v>0</v>
      </c>
      <c r="D54" s="45" t="n">
        <v>0</v>
      </c>
      <c r="E54" s="45" t="n">
        <v>0</v>
      </c>
      <c r="F54" s="45" t="n">
        <v>0</v>
      </c>
      <c r="G54" s="44" t="n">
        <v>0</v>
      </c>
      <c r="H54" s="45" t="n">
        <v>0</v>
      </c>
      <c r="I54" s="44" t="n">
        <v>0</v>
      </c>
      <c r="J54" s="45" t="n">
        <v>0</v>
      </c>
      <c r="K54" s="44" t="n">
        <v>0</v>
      </c>
    </row>
    <row r="55">
      <c r="A55" s="43" t="n">
        <v>51</v>
      </c>
      <c r="B55" s="43" t="inlineStr">
        <is>
          <t>Dieta z Liścia</t>
        </is>
      </c>
      <c r="C55" s="44" t="n">
        <v>0</v>
      </c>
      <c r="D55" s="45" t="n">
        <v>0</v>
      </c>
      <c r="E55" s="45" t="n">
        <v>0</v>
      </c>
      <c r="F55" s="45" t="n">
        <v>0</v>
      </c>
      <c r="G55" s="44" t="n">
        <v>0</v>
      </c>
      <c r="H55" s="45" t="n">
        <v>0</v>
      </c>
      <c r="I55" s="44" t="n">
        <v>0</v>
      </c>
      <c r="J55" s="45" t="n">
        <v>0</v>
      </c>
      <c r="K55" s="44" t="n">
        <v>0</v>
      </c>
    </row>
    <row r="56">
      <c r="A56" s="43" t="n">
        <v>52</v>
      </c>
      <c r="B56" s="43" t="inlineStr">
        <is>
          <t>Pawilon Grochów</t>
        </is>
      </c>
      <c r="C56" s="44" t="n">
        <v>0</v>
      </c>
      <c r="D56" s="45" t="n">
        <v>0</v>
      </c>
      <c r="E56" s="45" t="n">
        <v>0</v>
      </c>
      <c r="F56" s="45" t="n">
        <v>0</v>
      </c>
      <c r="G56" s="44" t="n">
        <v>0</v>
      </c>
      <c r="H56" s="45" t="n">
        <v>0</v>
      </c>
      <c r="I56" s="44" t="n">
        <v>0</v>
      </c>
      <c r="J56" s="45" t="n">
        <v>1588.135</v>
      </c>
      <c r="K56" s="44" t="n">
        <v>-1</v>
      </c>
    </row>
    <row r="57">
      <c r="A57" s="43" t="n">
        <v>53</v>
      </c>
      <c r="B57" s="43" t="inlineStr">
        <is>
          <t>Kult Kawy</t>
        </is>
      </c>
      <c r="C57" s="44" t="n">
        <v>0</v>
      </c>
      <c r="D57" s="45" t="n">
        <v>0</v>
      </c>
      <c r="E57" s="45" t="n">
        <v>0</v>
      </c>
      <c r="F57" s="45" t="n">
        <v>0</v>
      </c>
      <c r="G57" s="44" t="n">
        <v>0</v>
      </c>
      <c r="H57" s="45" t="n">
        <v>0</v>
      </c>
      <c r="I57" s="44" t="n">
        <v>0</v>
      </c>
      <c r="J57" s="45" t="n">
        <v>0</v>
      </c>
      <c r="K57" s="44" t="n">
        <v>0</v>
      </c>
    </row>
    <row r="58">
      <c r="A58" s="43" t="n">
        <v>54</v>
      </c>
      <c r="B58" s="43" t="inlineStr">
        <is>
          <t>Seafood Station Sopot</t>
        </is>
      </c>
      <c r="C58" s="44" t="n">
        <v>0</v>
      </c>
      <c r="D58" s="45" t="n">
        <v>0</v>
      </c>
      <c r="E58" s="45" t="n">
        <v>0</v>
      </c>
      <c r="F58" s="45" t="n">
        <v>0</v>
      </c>
      <c r="G58" s="44" t="n">
        <v>0</v>
      </c>
      <c r="H58" s="45" t="n">
        <v>0</v>
      </c>
      <c r="I58" s="44" t="n">
        <v>0</v>
      </c>
      <c r="J58" s="45" t="n">
        <v>461.0425</v>
      </c>
      <c r="K58" s="44" t="n">
        <v>-1</v>
      </c>
    </row>
    <row r="59">
      <c r="A59" s="43" t="n">
        <v>55</v>
      </c>
      <c r="B59" s="43" t="inlineStr">
        <is>
          <t>Orzo Cafe Wilanów</t>
        </is>
      </c>
      <c r="C59" s="44" t="n">
        <v>0</v>
      </c>
      <c r="D59" s="45" t="n">
        <v>0</v>
      </c>
      <c r="E59" s="45" t="n">
        <v>0</v>
      </c>
      <c r="F59" s="45" t="n">
        <v>0</v>
      </c>
      <c r="G59" s="44" t="n">
        <v>0</v>
      </c>
      <c r="H59" s="45" t="n">
        <v>0</v>
      </c>
      <c r="I59" s="44" t="n">
        <v>0</v>
      </c>
      <c r="J59" s="45" t="n">
        <v>0</v>
      </c>
      <c r="K59" s="44" t="n">
        <v>0</v>
      </c>
    </row>
    <row r="60">
      <c r="A60" s="43" t="n">
        <v>56</v>
      </c>
      <c r="B60" s="43" t="inlineStr">
        <is>
          <t>ZABAWA</t>
        </is>
      </c>
      <c r="C60" s="44" t="n">
        <v>0</v>
      </c>
      <c r="D60" s="45" t="n">
        <v>0</v>
      </c>
      <c r="E60" s="45" t="n">
        <v>0</v>
      </c>
      <c r="F60" s="45" t="n">
        <v>0</v>
      </c>
      <c r="G60" s="44" t="n">
        <v>0</v>
      </c>
      <c r="H60" s="45" t="n">
        <v>0</v>
      </c>
      <c r="I60" s="44" t="n">
        <v>0</v>
      </c>
      <c r="J60" s="45" t="n">
        <v>0</v>
      </c>
      <c r="K60" s="44" t="n">
        <v>0</v>
      </c>
    </row>
    <row r="61">
      <c r="A61" s="43" t="n">
        <v>57</v>
      </c>
      <c r="B61" s="43" t="inlineStr">
        <is>
          <t>Planoia</t>
        </is>
      </c>
      <c r="C61" s="44" t="n">
        <v>0</v>
      </c>
      <c r="D61" s="45" t="n">
        <v>0</v>
      </c>
      <c r="E61" s="45" t="n">
        <v>0</v>
      </c>
      <c r="F61" s="45" t="n">
        <v>0</v>
      </c>
      <c r="G61" s="44" t="n">
        <v>0</v>
      </c>
      <c r="H61" s="45" t="n">
        <v>0</v>
      </c>
      <c r="I61" s="44" t="n">
        <v>0</v>
      </c>
      <c r="J61" s="45" t="n">
        <v>0</v>
      </c>
      <c r="K61" s="44" t="n">
        <v>0</v>
      </c>
    </row>
    <row r="62">
      <c r="A62" s="43" t="n">
        <v>58</v>
      </c>
      <c r="B62" s="43" t="inlineStr">
        <is>
          <t>Sushi Zushi SUSHI 2 GO - SADYBA</t>
        </is>
      </c>
      <c r="C62" s="44" t="n">
        <v>0</v>
      </c>
      <c r="D62" s="45" t="n">
        <v>0</v>
      </c>
      <c r="E62" s="45" t="n">
        <v>0</v>
      </c>
      <c r="F62" s="45" t="n">
        <v>0</v>
      </c>
      <c r="G62" s="44" t="n">
        <v>0</v>
      </c>
      <c r="H62" s="45" t="n">
        <v>0</v>
      </c>
      <c r="I62" s="44" t="n">
        <v>0</v>
      </c>
      <c r="J62" s="45" t="n">
        <v>0</v>
      </c>
      <c r="K62" s="44" t="n">
        <v>0</v>
      </c>
    </row>
    <row r="63">
      <c r="A63" s="43" t="n">
        <v>59</v>
      </c>
      <c r="B63" s="43" t="inlineStr">
        <is>
          <t>Sakana Katowice 2</t>
        </is>
      </c>
      <c r="C63" s="44" t="n">
        <v>0</v>
      </c>
      <c r="D63" s="45" t="n">
        <v>0</v>
      </c>
      <c r="E63" s="45" t="n">
        <v>0</v>
      </c>
      <c r="F63" s="45" t="n">
        <v>0</v>
      </c>
      <c r="G63" s="44" t="n">
        <v>0</v>
      </c>
      <c r="H63" s="45" t="n">
        <v>0</v>
      </c>
      <c r="I63" s="44" t="n">
        <v>0</v>
      </c>
      <c r="J63" s="45" t="n">
        <v>0</v>
      </c>
      <c r="K63" s="44" t="n">
        <v>0</v>
      </c>
    </row>
    <row r="64">
      <c r="A64" s="43" t="n">
        <v>60</v>
      </c>
      <c r="B64" s="43" t="inlineStr">
        <is>
          <t>Ochota na sushi Gocław</t>
        </is>
      </c>
      <c r="C64" s="44" t="n">
        <v>0</v>
      </c>
      <c r="D64" s="45" t="n">
        <v>0</v>
      </c>
      <c r="E64" s="45" t="n">
        <v>0</v>
      </c>
      <c r="F64" s="45" t="n">
        <v>0</v>
      </c>
      <c r="G64" s="44" t="n">
        <v>0</v>
      </c>
      <c r="H64" s="45" t="n">
        <v>0</v>
      </c>
      <c r="I64" s="44" t="n">
        <v>0</v>
      </c>
      <c r="J64" s="45" t="n">
        <v>0</v>
      </c>
      <c r="K64" s="44" t="n">
        <v>0</v>
      </c>
    </row>
    <row r="65">
      <c r="A65" s="43" t="n">
        <v>61</v>
      </c>
      <c r="B65" s="43" t="inlineStr">
        <is>
          <t>Hoża Tagliatelle Pasta</t>
        </is>
      </c>
      <c r="C65" s="44" t="n">
        <v>0</v>
      </c>
      <c r="D65" s="45" t="n">
        <v>0</v>
      </c>
      <c r="E65" s="45" t="n">
        <v>0</v>
      </c>
      <c r="F65" s="45" t="n">
        <v>0</v>
      </c>
      <c r="G65" s="44" t="n">
        <v>0</v>
      </c>
      <c r="H65" s="45" t="n">
        <v>0</v>
      </c>
      <c r="I65" s="44" t="n">
        <v>0</v>
      </c>
      <c r="J65" s="45" t="n">
        <v>0</v>
      </c>
      <c r="K65" s="44" t="n">
        <v>0</v>
      </c>
    </row>
    <row r="66">
      <c r="A66" s="43" t="n">
        <v>62</v>
      </c>
      <c r="B66" s="43" t="inlineStr">
        <is>
          <t>Szafran - Wedel</t>
        </is>
      </c>
      <c r="C66" s="44" t="n">
        <v>0</v>
      </c>
      <c r="D66" s="45" t="n">
        <v>0</v>
      </c>
      <c r="E66" s="45" t="n">
        <v>0</v>
      </c>
      <c r="F66" s="45" t="n">
        <v>0</v>
      </c>
      <c r="G66" s="44" t="n">
        <v>0</v>
      </c>
      <c r="H66" s="45" t="n">
        <v>0</v>
      </c>
      <c r="I66" s="44" t="n">
        <v>0</v>
      </c>
      <c r="J66" s="45" t="n">
        <v>0</v>
      </c>
      <c r="K66" s="44" t="n">
        <v>0</v>
      </c>
    </row>
    <row r="67">
      <c r="A67" s="43" t="n">
        <v>63</v>
      </c>
      <c r="B67" s="43" t="inlineStr">
        <is>
          <t>ULTRAMALINA</t>
        </is>
      </c>
      <c r="C67" s="44" t="n">
        <v>0</v>
      </c>
      <c r="D67" s="45" t="n">
        <v>0</v>
      </c>
      <c r="E67" s="45" t="n">
        <v>0</v>
      </c>
      <c r="F67" s="45" t="n">
        <v>0</v>
      </c>
      <c r="G67" s="44" t="n">
        <v>0</v>
      </c>
      <c r="H67" s="45" t="n">
        <v>0</v>
      </c>
      <c r="I67" s="44" t="n">
        <v>0</v>
      </c>
      <c r="J67" s="45" t="n">
        <v>0</v>
      </c>
      <c r="K67" s="44" t="n">
        <v>0</v>
      </c>
    </row>
    <row r="68">
      <c r="A68" s="43" t="n">
        <v>64</v>
      </c>
      <c r="B68" s="43" t="inlineStr">
        <is>
          <t>Madame Pho</t>
        </is>
      </c>
      <c r="C68" s="44" t="n">
        <v>0</v>
      </c>
      <c r="D68" s="45" t="n">
        <v>0</v>
      </c>
      <c r="E68" s="45" t="n">
        <v>0</v>
      </c>
      <c r="F68" s="45" t="n">
        <v>0</v>
      </c>
      <c r="G68" s="44" t="n">
        <v>0</v>
      </c>
      <c r="H68" s="45" t="n">
        <v>0</v>
      </c>
      <c r="I68" s="44" t="n">
        <v>0</v>
      </c>
      <c r="J68" s="45" t="n">
        <v>0</v>
      </c>
      <c r="K68" s="44" t="n">
        <v>0</v>
      </c>
    </row>
    <row r="69">
      <c r="A69" s="43" t="n">
        <v>65</v>
      </c>
      <c r="B69" s="43" t="inlineStr">
        <is>
          <t>Informal Kitchen</t>
        </is>
      </c>
      <c r="C69" s="44" t="n">
        <v>0</v>
      </c>
      <c r="D69" s="45" t="n">
        <v>0</v>
      </c>
      <c r="E69" s="45" t="n">
        <v>0</v>
      </c>
      <c r="F69" s="45" t="n">
        <v>0</v>
      </c>
      <c r="G69" s="44" t="n">
        <v>0</v>
      </c>
      <c r="H69" s="45" t="n">
        <v>0</v>
      </c>
      <c r="I69" s="44" t="n">
        <v>0</v>
      </c>
      <c r="J69" s="45" t="n">
        <v>0</v>
      </c>
      <c r="K69" s="44" t="n">
        <v>0</v>
      </c>
    </row>
    <row r="70">
      <c r="A70" s="43" t="n">
        <v>66</v>
      </c>
      <c r="B70" s="43" t="inlineStr">
        <is>
          <t xml:space="preserve">Azia Arkadia </t>
        </is>
      </c>
      <c r="C70" s="44" t="n">
        <v>0</v>
      </c>
      <c r="D70" s="45" t="n">
        <v>0</v>
      </c>
      <c r="E70" s="45" t="n">
        <v>0</v>
      </c>
      <c r="F70" s="45" t="n">
        <v>0</v>
      </c>
      <c r="G70" s="44" t="n">
        <v>0</v>
      </c>
      <c r="H70" s="45" t="n">
        <v>0</v>
      </c>
      <c r="I70" s="44" t="n">
        <v>0</v>
      </c>
      <c r="J70" s="45" t="n">
        <v>0</v>
      </c>
      <c r="K70" s="44" t="n">
        <v>0</v>
      </c>
    </row>
    <row r="71">
      <c r="A71" s="43" t="n">
        <v>67</v>
      </c>
      <c r="B71" s="43" t="inlineStr">
        <is>
          <t>Silk&amp;Spicy Ogrody Urlicha</t>
        </is>
      </c>
      <c r="C71" s="44" t="n">
        <v>0</v>
      </c>
      <c r="D71" s="45" t="n">
        <v>0</v>
      </c>
      <c r="E71" s="45" t="n">
        <v>0</v>
      </c>
      <c r="F71" s="45" t="n">
        <v>0</v>
      </c>
      <c r="G71" s="44" t="n">
        <v>0</v>
      </c>
      <c r="H71" s="45" t="n">
        <v>0</v>
      </c>
      <c r="I71" s="44" t="n">
        <v>0</v>
      </c>
      <c r="J71" s="45" t="n">
        <v>1761.106666666667</v>
      </c>
      <c r="K71" s="44" t="n">
        <v>-1</v>
      </c>
    </row>
    <row r="72">
      <c r="A72" s="43" t="n">
        <v>68</v>
      </c>
      <c r="B72" s="43" t="inlineStr">
        <is>
          <t>Bali Bali Pruszków</t>
        </is>
      </c>
      <c r="C72" s="44" t="n">
        <v>0</v>
      </c>
      <c r="D72" s="45" t="n">
        <v>0</v>
      </c>
      <c r="E72" s="45" t="n">
        <v>0</v>
      </c>
      <c r="F72" s="45" t="n">
        <v>0</v>
      </c>
      <c r="G72" s="44" t="n">
        <v>0</v>
      </c>
      <c r="H72" s="45" t="n">
        <v>0</v>
      </c>
      <c r="I72" s="44" t="n">
        <v>0</v>
      </c>
      <c r="J72" s="45" t="n">
        <v>0</v>
      </c>
      <c r="K72" s="44" t="n">
        <v>0</v>
      </c>
    </row>
    <row r="73">
      <c r="A73" s="43" t="n">
        <v>69</v>
      </c>
      <c r="B73" s="43" t="inlineStr">
        <is>
          <t>Sakana Gdańsk</t>
        </is>
      </c>
      <c r="C73" s="44" t="n">
        <v>0</v>
      </c>
      <c r="D73" s="45" t="n">
        <v>0</v>
      </c>
      <c r="E73" s="45" t="n">
        <v>0</v>
      </c>
      <c r="F73" s="45" t="n">
        <v>0</v>
      </c>
      <c r="G73" s="44" t="n">
        <v>0</v>
      </c>
      <c r="H73" s="45" t="n">
        <v>0</v>
      </c>
      <c r="I73" s="44" t="n">
        <v>0</v>
      </c>
      <c r="J73" s="45" t="n">
        <v>0</v>
      </c>
      <c r="K73" s="44" t="n">
        <v>0</v>
      </c>
    </row>
    <row r="74">
      <c r="A74" s="43" t="n">
        <v>70</v>
      </c>
      <c r="B74" s="43" t="inlineStr">
        <is>
          <t>4F SPOT</t>
        </is>
      </c>
      <c r="C74" s="44" t="n">
        <v>0</v>
      </c>
      <c r="D74" s="45" t="n">
        <v>0</v>
      </c>
      <c r="E74" s="45" t="n">
        <v>0</v>
      </c>
      <c r="F74" s="45" t="n">
        <v>0</v>
      </c>
      <c r="G74" s="44" t="n">
        <v>0</v>
      </c>
      <c r="H74" s="45" t="n">
        <v>0</v>
      </c>
      <c r="I74" s="44" t="n">
        <v>0</v>
      </c>
      <c r="J74" s="45" t="n">
        <v>0</v>
      </c>
      <c r="K74" s="44" t="n">
        <v>0</v>
      </c>
    </row>
    <row r="75">
      <c r="A75" s="43" t="n">
        <v>71</v>
      </c>
      <c r="B75" s="43" t="inlineStr">
        <is>
          <t>Rapi</t>
        </is>
      </c>
      <c r="C75" s="44" t="n">
        <v>0</v>
      </c>
      <c r="D75" s="45" t="n">
        <v>0</v>
      </c>
      <c r="E75" s="45" t="n">
        <v>0</v>
      </c>
      <c r="F75" s="45" t="n">
        <v>0</v>
      </c>
      <c r="G75" s="44" t="n">
        <v>0</v>
      </c>
      <c r="H75" s="45" t="n">
        <v>0</v>
      </c>
      <c r="I75" s="44" t="n">
        <v>0</v>
      </c>
      <c r="J75" s="45" t="n">
        <v>412.86</v>
      </c>
      <c r="K75" s="44" t="n">
        <v>-1</v>
      </c>
    </row>
    <row r="76">
      <c r="A76" s="43" t="n">
        <v>72</v>
      </c>
      <c r="B76" s="43" t="inlineStr">
        <is>
          <t>DAIDOKORO</t>
        </is>
      </c>
      <c r="C76" s="44" t="n">
        <v>0</v>
      </c>
      <c r="D76" s="45" t="n">
        <v>0</v>
      </c>
      <c r="E76" s="45" t="n">
        <v>0</v>
      </c>
      <c r="F76" s="45" t="n">
        <v>0</v>
      </c>
      <c r="G76" s="44" t="n">
        <v>0</v>
      </c>
      <c r="H76" s="45" t="n">
        <v>0</v>
      </c>
      <c r="I76" s="44" t="n">
        <v>0</v>
      </c>
      <c r="J76" s="45" t="n">
        <v>1051.721428571429</v>
      </c>
      <c r="K76" s="44" t="n">
        <v>-1</v>
      </c>
    </row>
    <row r="77">
      <c r="A77" s="43" t="n">
        <v>73</v>
      </c>
      <c r="B77" s="43" t="inlineStr">
        <is>
          <t>Silk&amp;Spicy POZNAŃ</t>
        </is>
      </c>
      <c r="C77" s="44" t="n">
        <v>0</v>
      </c>
      <c r="D77" s="45" t="n">
        <v>0</v>
      </c>
      <c r="E77" s="45" t="n">
        <v>0</v>
      </c>
      <c r="F77" s="45" t="n">
        <v>0</v>
      </c>
      <c r="G77" s="44" t="n">
        <v>0</v>
      </c>
      <c r="H77" s="45" t="n">
        <v>0</v>
      </c>
      <c r="I77" s="44" t="n">
        <v>0</v>
      </c>
      <c r="J77" s="45" t="n">
        <v>832.0219999999999</v>
      </c>
      <c r="K77" s="44" t="n">
        <v>-1</v>
      </c>
    </row>
    <row r="78">
      <c r="A78" s="43" t="n">
        <v>74</v>
      </c>
      <c r="B78" s="43" t="inlineStr">
        <is>
          <t xml:space="preserve">CATCH MORE </t>
        </is>
      </c>
      <c r="C78" s="44" t="n">
        <v>0</v>
      </c>
      <c r="D78" s="45" t="n">
        <v>0</v>
      </c>
      <c r="E78" s="45" t="n">
        <v>0</v>
      </c>
      <c r="F78" s="45" t="n">
        <v>0</v>
      </c>
      <c r="G78" s="44" t="n">
        <v>0</v>
      </c>
      <c r="H78" s="45" t="n">
        <v>0</v>
      </c>
      <c r="I78" s="44" t="n">
        <v>0</v>
      </c>
      <c r="J78" s="45" t="n">
        <v>0</v>
      </c>
      <c r="K78" s="44" t="n">
        <v>0</v>
      </c>
    </row>
    <row r="79">
      <c r="A79" s="43" t="n">
        <v>75</v>
      </c>
      <c r="B79" s="43" t="inlineStr">
        <is>
          <t>Veticana</t>
        </is>
      </c>
      <c r="C79" s="44" t="n">
        <v>0</v>
      </c>
      <c r="D79" s="45" t="n">
        <v>0</v>
      </c>
      <c r="E79" s="45" t="n">
        <v>0</v>
      </c>
      <c r="F79" s="45" t="n">
        <v>0</v>
      </c>
      <c r="G79" s="44" t="n">
        <v>0</v>
      </c>
      <c r="H79" s="45" t="n">
        <v>0</v>
      </c>
      <c r="I79" s="44" t="n">
        <v>0</v>
      </c>
      <c r="J79" s="45" t="n">
        <v>0</v>
      </c>
      <c r="K79" s="44" t="n">
        <v>0</v>
      </c>
    </row>
    <row r="80">
      <c r="A80" s="43" t="n">
        <v>76</v>
      </c>
      <c r="B80" s="43" t="inlineStr">
        <is>
          <t>Ewa Kozyra Event</t>
        </is>
      </c>
      <c r="C80" s="44" t="n">
        <v>0</v>
      </c>
      <c r="D80" s="45" t="n">
        <v>0</v>
      </c>
      <c r="E80" s="45" t="n">
        <v>0</v>
      </c>
      <c r="F80" s="45" t="n">
        <v>0</v>
      </c>
      <c r="G80" s="44" t="n">
        <v>0</v>
      </c>
      <c r="H80" s="45" t="n">
        <v>0</v>
      </c>
      <c r="I80" s="44" t="n">
        <v>0</v>
      </c>
      <c r="J80" s="45" t="n">
        <v>0</v>
      </c>
      <c r="K80" s="44" t="n">
        <v>0</v>
      </c>
    </row>
    <row r="81">
      <c r="A81" s="43" t="n">
        <v>77</v>
      </c>
      <c r="B81" s="43" t="inlineStr">
        <is>
          <t>Sushi Zushi Sadyba</t>
        </is>
      </c>
      <c r="C81" s="44" t="n">
        <v>0</v>
      </c>
      <c r="D81" s="45" t="n">
        <v>0</v>
      </c>
      <c r="E81" s="45" t="n">
        <v>0</v>
      </c>
      <c r="F81" s="45" t="n">
        <v>0</v>
      </c>
      <c r="G81" s="44" t="n">
        <v>0</v>
      </c>
      <c r="H81" s="45" t="n">
        <v>0</v>
      </c>
      <c r="I81" s="44" t="n">
        <v>0</v>
      </c>
      <c r="J81" s="45" t="n">
        <v>1081.375555555556</v>
      </c>
      <c r="K81" s="44" t="n">
        <v>-1</v>
      </c>
    </row>
    <row r="82">
      <c r="A82" s="43" t="n">
        <v>78</v>
      </c>
      <c r="B82" s="43" t="inlineStr">
        <is>
          <t>Piotrek Rękawek</t>
        </is>
      </c>
      <c r="C82" s="44" t="n">
        <v>0</v>
      </c>
      <c r="D82" s="45" t="n">
        <v>0</v>
      </c>
      <c r="E82" s="45" t="n">
        <v>0</v>
      </c>
      <c r="F82" s="45" t="n">
        <v>0</v>
      </c>
      <c r="G82" s="44" t="n">
        <v>0</v>
      </c>
      <c r="H82" s="45" t="n">
        <v>274.07</v>
      </c>
      <c r="I82" s="44" t="n">
        <v>-1</v>
      </c>
      <c r="J82" s="45" t="n">
        <v>333.8683333333333</v>
      </c>
      <c r="K82" s="44" t="n">
        <v>-1</v>
      </c>
    </row>
    <row r="83">
      <c r="A83" s="43" t="n">
        <v>79</v>
      </c>
      <c r="B83" s="43" t="inlineStr">
        <is>
          <t>PSP Piaseczno</t>
        </is>
      </c>
      <c r="C83" s="44" t="n">
        <v>0</v>
      </c>
      <c r="D83" s="45" t="n">
        <v>0</v>
      </c>
      <c r="E83" s="45" t="n">
        <v>0</v>
      </c>
      <c r="F83" s="45" t="n">
        <v>0</v>
      </c>
      <c r="G83" s="44" t="n">
        <v>0</v>
      </c>
      <c r="H83" s="45" t="n">
        <v>0</v>
      </c>
      <c r="I83" s="44" t="n">
        <v>0</v>
      </c>
      <c r="J83" s="45" t="n">
        <v>0</v>
      </c>
      <c r="K83" s="44" t="n">
        <v>0</v>
      </c>
    </row>
    <row r="84">
      <c r="A84" s="43" t="n">
        <v>80</v>
      </c>
      <c r="B84" s="43" t="inlineStr">
        <is>
          <t>ZOJA SUSHI</t>
        </is>
      </c>
      <c r="C84" s="44" t="n">
        <v>0</v>
      </c>
      <c r="D84" s="45" t="n">
        <v>0</v>
      </c>
      <c r="E84" s="45" t="n">
        <v>0</v>
      </c>
      <c r="F84" s="45" t="n">
        <v>0</v>
      </c>
      <c r="G84" s="44" t="n">
        <v>0</v>
      </c>
      <c r="H84" s="45" t="n">
        <v>0</v>
      </c>
      <c r="I84" s="44" t="n">
        <v>0</v>
      </c>
      <c r="J84" s="45" t="n">
        <v>0</v>
      </c>
      <c r="K84" s="44" t="n">
        <v>0</v>
      </c>
    </row>
    <row r="85">
      <c r="A85" s="43" t="n">
        <v>81</v>
      </c>
      <c r="B85" s="43" t="inlineStr">
        <is>
          <t>MÓJFIZJO</t>
        </is>
      </c>
      <c r="C85" s="44" t="n">
        <v>0</v>
      </c>
      <c r="D85" s="45" t="n">
        <v>0</v>
      </c>
      <c r="E85" s="45" t="n">
        <v>0</v>
      </c>
      <c r="F85" s="45" t="n">
        <v>0</v>
      </c>
      <c r="G85" s="44" t="n">
        <v>0</v>
      </c>
      <c r="H85" s="45" t="n">
        <v>0</v>
      </c>
      <c r="I85" s="44" t="n">
        <v>0</v>
      </c>
      <c r="J85" s="45" t="n">
        <v>0</v>
      </c>
      <c r="K85" s="44" t="n">
        <v>0</v>
      </c>
    </row>
    <row r="86">
      <c r="A86" s="43" t="n">
        <v>82</v>
      </c>
      <c r="B86" s="43" t="inlineStr">
        <is>
          <t>Zawijadło</t>
        </is>
      </c>
      <c r="C86" s="44" t="n">
        <v>0</v>
      </c>
      <c r="D86" s="45" t="n">
        <v>0</v>
      </c>
      <c r="E86" s="45" t="n">
        <v>0</v>
      </c>
      <c r="F86" s="45" t="n">
        <v>0</v>
      </c>
      <c r="G86" s="44" t="n">
        <v>0</v>
      </c>
      <c r="H86" s="45" t="n">
        <v>0</v>
      </c>
      <c r="I86" s="44" t="n">
        <v>0</v>
      </c>
      <c r="J86" s="45" t="n">
        <v>0</v>
      </c>
      <c r="K86" s="44" t="n">
        <v>0</v>
      </c>
    </row>
    <row r="87">
      <c r="A87" s="43" t="n">
        <v>83</v>
      </c>
      <c r="B87" s="43" t="inlineStr">
        <is>
          <t>Maciej Zawadzki - Prezes</t>
        </is>
      </c>
      <c r="C87" s="44" t="n">
        <v>0</v>
      </c>
      <c r="D87" s="45" t="n">
        <v>0</v>
      </c>
      <c r="E87" s="45" t="n">
        <v>0</v>
      </c>
      <c r="F87" s="45" t="n">
        <v>0</v>
      </c>
      <c r="G87" s="44" t="n">
        <v>0</v>
      </c>
      <c r="H87" s="45" t="n">
        <v>0</v>
      </c>
      <c r="I87" s="44" t="n">
        <v>0</v>
      </c>
      <c r="J87" s="45" t="n">
        <v>0</v>
      </c>
      <c r="K87" s="44" t="n">
        <v>0</v>
      </c>
    </row>
    <row r="88">
      <c r="A88" s="43" t="n">
        <v>84</v>
      </c>
      <c r="B88" s="43" t="inlineStr">
        <is>
          <t>Villa Poranek</t>
        </is>
      </c>
      <c r="C88" s="44" t="n">
        <v>0</v>
      </c>
      <c r="D88" s="45" t="n">
        <v>0</v>
      </c>
      <c r="E88" s="45" t="n">
        <v>0</v>
      </c>
      <c r="F88" s="45" t="n">
        <v>0</v>
      </c>
      <c r="G88" s="44" t="n">
        <v>0</v>
      </c>
      <c r="H88" s="45" t="n">
        <v>0</v>
      </c>
      <c r="I88" s="44" t="n">
        <v>0</v>
      </c>
      <c r="J88" s="45" t="n">
        <v>0</v>
      </c>
      <c r="K88" s="44" t="n">
        <v>0</v>
      </c>
    </row>
    <row r="89">
      <c r="A89" s="43" t="n">
        <v>85</v>
      </c>
      <c r="B89" s="43" t="inlineStr">
        <is>
          <t>Manufaktura Sushi GRÓJEC</t>
        </is>
      </c>
      <c r="C89" s="44" t="n">
        <v>0</v>
      </c>
      <c r="D89" s="45" t="n">
        <v>0</v>
      </c>
      <c r="E89" s="45" t="n">
        <v>0</v>
      </c>
      <c r="F89" s="45" t="n">
        <v>0</v>
      </c>
      <c r="G89" s="44" t="n">
        <v>0</v>
      </c>
      <c r="H89" s="45" t="n">
        <v>0</v>
      </c>
      <c r="I89" s="44" t="n">
        <v>0</v>
      </c>
      <c r="J89" s="45" t="n">
        <v>0</v>
      </c>
      <c r="K89" s="44" t="n">
        <v>0</v>
      </c>
    </row>
    <row r="90">
      <c r="A90" s="43" t="n">
        <v>86</v>
      </c>
      <c r="B90" s="43" t="inlineStr">
        <is>
          <t>Iga lody</t>
        </is>
      </c>
      <c r="C90" s="44" t="n">
        <v>0</v>
      </c>
      <c r="D90" s="45" t="n">
        <v>0</v>
      </c>
      <c r="E90" s="45" t="n">
        <v>0</v>
      </c>
      <c r="F90" s="45" t="n">
        <v>0</v>
      </c>
      <c r="G90" s="44" t="n">
        <v>0</v>
      </c>
      <c r="H90" s="45" t="n">
        <v>0</v>
      </c>
      <c r="I90" s="44" t="n">
        <v>0</v>
      </c>
      <c r="J90" s="45" t="n">
        <v>0</v>
      </c>
      <c r="K90" s="44" t="n">
        <v>0</v>
      </c>
    </row>
    <row r="91">
      <c r="A91" s="43" t="n">
        <v>87</v>
      </c>
      <c r="B91" s="43" t="inlineStr">
        <is>
          <t>Łowisko</t>
        </is>
      </c>
      <c r="C91" s="44" t="n">
        <v>0</v>
      </c>
      <c r="D91" s="45" t="n">
        <v>0</v>
      </c>
      <c r="E91" s="45" t="n">
        <v>0</v>
      </c>
      <c r="F91" s="45" t="n">
        <v>0</v>
      </c>
      <c r="G91" s="44" t="n">
        <v>0</v>
      </c>
      <c r="H91" s="45" t="n">
        <v>0</v>
      </c>
      <c r="I91" s="44" t="n">
        <v>0</v>
      </c>
      <c r="J91" s="45" t="n">
        <v>0</v>
      </c>
      <c r="K91" s="44" t="n">
        <v>0</v>
      </c>
    </row>
    <row r="92">
      <c r="A92" s="43" t="n">
        <v>88</v>
      </c>
      <c r="B92" s="43" t="inlineStr">
        <is>
          <t>Jadło Szofera</t>
        </is>
      </c>
      <c r="C92" s="44" t="n">
        <v>0</v>
      </c>
      <c r="D92" s="45" t="n">
        <v>0</v>
      </c>
      <c r="E92" s="45" t="n">
        <v>0</v>
      </c>
      <c r="F92" s="45" t="n">
        <v>0</v>
      </c>
      <c r="G92" s="44" t="n">
        <v>0</v>
      </c>
      <c r="H92" s="45" t="n">
        <v>0</v>
      </c>
      <c r="I92" s="44" t="n">
        <v>0</v>
      </c>
      <c r="J92" s="45" t="n">
        <v>0</v>
      </c>
      <c r="K92" s="44" t="n">
        <v>0</v>
      </c>
    </row>
    <row r="93">
      <c r="A93" s="43" t="n">
        <v>89</v>
      </c>
      <c r="B93" s="43" t="inlineStr">
        <is>
          <t>Elementy Polskie</t>
        </is>
      </c>
      <c r="C93" s="44" t="n">
        <v>0</v>
      </c>
      <c r="D93" s="45" t="n">
        <v>0</v>
      </c>
      <c r="E93" s="45" t="n">
        <v>0</v>
      </c>
      <c r="F93" s="45" t="n">
        <v>0</v>
      </c>
      <c r="G93" s="44" t="n">
        <v>0</v>
      </c>
      <c r="H93" s="45" t="n">
        <v>0</v>
      </c>
      <c r="I93" s="44" t="n">
        <v>0</v>
      </c>
      <c r="J93" s="45" t="n">
        <v>352.52</v>
      </c>
      <c r="K93" s="44" t="n">
        <v>-1</v>
      </c>
    </row>
    <row r="94">
      <c r="A94" s="43" t="n">
        <v>90</v>
      </c>
      <c r="B94" s="43" t="inlineStr">
        <is>
          <t>Oni Izakaya</t>
        </is>
      </c>
      <c r="C94" s="44" t="n">
        <v>0</v>
      </c>
      <c r="D94" s="45" t="n">
        <v>0</v>
      </c>
      <c r="E94" s="45" t="n">
        <v>0</v>
      </c>
      <c r="F94" s="45" t="n">
        <v>0</v>
      </c>
      <c r="G94" s="44" t="n">
        <v>0</v>
      </c>
      <c r="H94" s="45" t="n">
        <v>0</v>
      </c>
      <c r="I94" s="44" t="n">
        <v>0</v>
      </c>
      <c r="J94" s="45" t="n">
        <v>78.08</v>
      </c>
      <c r="K94" s="44" t="n">
        <v>-1</v>
      </c>
    </row>
    <row r="95">
      <c r="A95" s="43" t="n">
        <v>91</v>
      </c>
      <c r="B95" s="43" t="inlineStr">
        <is>
          <t>Powodzianie</t>
        </is>
      </c>
      <c r="C95" s="44" t="n">
        <v>0</v>
      </c>
      <c r="D95" s="45" t="n">
        <v>0</v>
      </c>
      <c r="E95" s="45" t="n">
        <v>0</v>
      </c>
      <c r="F95" s="45" t="n">
        <v>0</v>
      </c>
      <c r="G95" s="44" t="n">
        <v>0</v>
      </c>
      <c r="H95" s="45" t="n">
        <v>0</v>
      </c>
      <c r="I95" s="44" t="n">
        <v>0</v>
      </c>
      <c r="J95" s="45" t="n">
        <v>0</v>
      </c>
      <c r="K95" s="44" t="n">
        <v>0</v>
      </c>
    </row>
    <row r="96">
      <c r="A96" s="43" t="n">
        <v>92</v>
      </c>
      <c r="B96" s="43" t="inlineStr">
        <is>
          <t>Marsz Marsz</t>
        </is>
      </c>
      <c r="C96" s="44" t="n">
        <v>0</v>
      </c>
      <c r="D96" s="45" t="n">
        <v>0</v>
      </c>
      <c r="E96" s="45" t="n">
        <v>0</v>
      </c>
      <c r="F96" s="45" t="n">
        <v>0</v>
      </c>
      <c r="G96" s="44" t="n">
        <v>0</v>
      </c>
      <c r="H96" s="45" t="n">
        <v>0</v>
      </c>
      <c r="I96" s="44" t="n">
        <v>0</v>
      </c>
      <c r="J96" s="45" t="n">
        <v>0</v>
      </c>
      <c r="K96" s="44" t="n">
        <v>0</v>
      </c>
    </row>
    <row r="97">
      <c r="A97" s="43" t="n">
        <v>93</v>
      </c>
      <c r="B97" s="43" t="inlineStr">
        <is>
          <t xml:space="preserve">Park Cafe </t>
        </is>
      </c>
      <c r="C97" s="44" t="n">
        <v>0</v>
      </c>
      <c r="D97" s="45" t="n">
        <v>0</v>
      </c>
      <c r="E97" s="45" t="n">
        <v>0</v>
      </c>
      <c r="F97" s="45" t="n">
        <v>0</v>
      </c>
      <c r="G97" s="44" t="n">
        <v>0</v>
      </c>
      <c r="H97" s="45" t="n">
        <v>0</v>
      </c>
      <c r="I97" s="44" t="n">
        <v>0</v>
      </c>
      <c r="J97" s="45" t="n">
        <v>0</v>
      </c>
      <c r="K97" s="44" t="n">
        <v>0</v>
      </c>
    </row>
    <row r="98">
      <c r="A98" s="43" t="n">
        <v>94</v>
      </c>
      <c r="B98" s="43" t="inlineStr">
        <is>
          <t>Viktoria - firma sprzątająca</t>
        </is>
      </c>
      <c r="C98" s="44" t="n">
        <v>0</v>
      </c>
      <c r="D98" s="45" t="n">
        <v>0</v>
      </c>
      <c r="E98" s="45" t="n">
        <v>0</v>
      </c>
      <c r="F98" s="45" t="n">
        <v>0</v>
      </c>
      <c r="G98" s="44" t="n">
        <v>0</v>
      </c>
      <c r="H98" s="45" t="n">
        <v>0</v>
      </c>
      <c r="I98" s="44" t="n">
        <v>0</v>
      </c>
      <c r="J98" s="45" t="n">
        <v>0</v>
      </c>
      <c r="K98" s="44" t="n">
        <v>0</v>
      </c>
    </row>
    <row r="99">
      <c r="A99" s="43" t="n">
        <v>95</v>
      </c>
      <c r="B99" s="43" t="inlineStr">
        <is>
          <t>AIOLI</t>
        </is>
      </c>
      <c r="C99" s="44" t="n">
        <v>0</v>
      </c>
      <c r="D99" s="45" t="n">
        <v>0</v>
      </c>
      <c r="E99" s="45" t="n">
        <v>0</v>
      </c>
      <c r="F99" s="45" t="n">
        <v>0</v>
      </c>
      <c r="G99" s="44" t="n">
        <v>0</v>
      </c>
      <c r="H99" s="45" t="n">
        <v>0</v>
      </c>
      <c r="I99" s="44" t="n">
        <v>0</v>
      </c>
      <c r="J99" s="45" t="n">
        <v>0</v>
      </c>
      <c r="K99" s="44" t="n">
        <v>0</v>
      </c>
    </row>
    <row r="100">
      <c r="A100" s="43" t="n">
        <v>96</v>
      </c>
      <c r="B100" s="43" t="inlineStr">
        <is>
          <t xml:space="preserve">Hotel Mikołajki </t>
        </is>
      </c>
      <c r="C100" s="44" t="n">
        <v>0</v>
      </c>
      <c r="D100" s="45" t="n">
        <v>0</v>
      </c>
      <c r="E100" s="45" t="n">
        <v>0</v>
      </c>
      <c r="F100" s="45" t="n">
        <v>0</v>
      </c>
      <c r="G100" s="44" t="n">
        <v>0</v>
      </c>
      <c r="H100" s="45" t="n">
        <v>0</v>
      </c>
      <c r="I100" s="44" t="n">
        <v>0</v>
      </c>
      <c r="J100" s="45" t="n">
        <v>0</v>
      </c>
      <c r="K100" s="44" t="n">
        <v>0</v>
      </c>
    </row>
    <row r="101">
      <c r="A101" s="43" t="n">
        <v>97</v>
      </c>
      <c r="B101" s="43" t="inlineStr">
        <is>
          <t>Silk&amp;Spicy BYDGOSZCZ</t>
        </is>
      </c>
      <c r="C101" s="44" t="n">
        <v>0</v>
      </c>
      <c r="D101" s="45" t="n">
        <v>0</v>
      </c>
      <c r="E101" s="45" t="n">
        <v>0</v>
      </c>
      <c r="F101" s="45" t="n">
        <v>0</v>
      </c>
      <c r="G101" s="44" t="n">
        <v>0</v>
      </c>
      <c r="H101" s="45" t="n">
        <v>0</v>
      </c>
      <c r="I101" s="44" t="n">
        <v>0</v>
      </c>
      <c r="J101" s="45" t="n">
        <v>0</v>
      </c>
      <c r="K101" s="44" t="n">
        <v>0</v>
      </c>
    </row>
    <row r="102">
      <c r="A102" s="43" t="n">
        <v>98</v>
      </c>
      <c r="B102" s="43" t="inlineStr">
        <is>
          <t>Kinogram</t>
        </is>
      </c>
      <c r="C102" s="44" t="n">
        <v>0</v>
      </c>
      <c r="D102" s="45" t="n">
        <v>0</v>
      </c>
      <c r="E102" s="45" t="n">
        <v>0</v>
      </c>
      <c r="F102" s="45" t="n">
        <v>0</v>
      </c>
      <c r="G102" s="44" t="n">
        <v>0</v>
      </c>
      <c r="H102" s="45" t="n">
        <v>0</v>
      </c>
      <c r="I102" s="44" t="n">
        <v>0</v>
      </c>
      <c r="J102" s="45" t="n">
        <v>0</v>
      </c>
      <c r="K102" s="44" t="n">
        <v>0</v>
      </c>
    </row>
    <row r="103">
      <c r="A103" s="43" t="n">
        <v>99</v>
      </c>
      <c r="B103" s="43" t="inlineStr">
        <is>
          <t>Hasu Sushi Bemowo</t>
        </is>
      </c>
      <c r="C103" s="44" t="n">
        <v>0</v>
      </c>
      <c r="D103" s="45" t="n">
        <v>0</v>
      </c>
      <c r="E103" s="45" t="n">
        <v>0</v>
      </c>
      <c r="F103" s="45" t="n">
        <v>0</v>
      </c>
      <c r="G103" s="44" t="n">
        <v>0</v>
      </c>
      <c r="H103" s="45" t="n">
        <v>0</v>
      </c>
      <c r="I103" s="44" t="n">
        <v>0</v>
      </c>
      <c r="J103" s="45" t="n">
        <v>0</v>
      </c>
      <c r="K103" s="44" t="n">
        <v>0</v>
      </c>
    </row>
    <row r="104">
      <c r="A104" s="43" t="n">
        <v>100</v>
      </c>
      <c r="B104" s="43" t="inlineStr">
        <is>
          <t>Restauracja Vilano</t>
        </is>
      </c>
      <c r="C104" s="44" t="n">
        <v>0</v>
      </c>
      <c r="D104" s="45" t="n">
        <v>0</v>
      </c>
      <c r="E104" s="45" t="n">
        <v>0</v>
      </c>
      <c r="F104" s="45" t="n">
        <v>0</v>
      </c>
      <c r="G104" s="44" t="n">
        <v>0</v>
      </c>
      <c r="H104" s="45" t="n">
        <v>0</v>
      </c>
      <c r="I104" s="44" t="n">
        <v>0</v>
      </c>
      <c r="J104" s="45" t="n">
        <v>0</v>
      </c>
      <c r="K104" s="44" t="n">
        <v>0</v>
      </c>
    </row>
    <row r="105">
      <c r="A105" s="43" t="n">
        <v>101</v>
      </c>
      <c r="B105" s="43" t="inlineStr">
        <is>
          <t>Żywy Chleb</t>
        </is>
      </c>
      <c r="C105" s="44" t="n">
        <v>0</v>
      </c>
      <c r="D105" s="45" t="n">
        <v>0</v>
      </c>
      <c r="E105" s="45" t="n">
        <v>0</v>
      </c>
      <c r="F105" s="45" t="n">
        <v>0</v>
      </c>
      <c r="G105" s="44" t="n">
        <v>0</v>
      </c>
      <c r="H105" s="45" t="n">
        <v>0</v>
      </c>
      <c r="I105" s="44" t="n">
        <v>0</v>
      </c>
      <c r="J105" s="45" t="n">
        <v>0</v>
      </c>
      <c r="K105" s="44" t="n">
        <v>0</v>
      </c>
    </row>
    <row r="106">
      <c r="A106" s="43" t="n">
        <v>102</v>
      </c>
      <c r="B106" s="43" t="inlineStr">
        <is>
          <t>Grano Duro</t>
        </is>
      </c>
      <c r="C106" s="44" t="n">
        <v>0</v>
      </c>
      <c r="D106" s="45" t="n">
        <v>0</v>
      </c>
      <c r="E106" s="45" t="n">
        <v>0</v>
      </c>
      <c r="F106" s="45" t="n">
        <v>0</v>
      </c>
      <c r="G106" s="44" t="n">
        <v>0</v>
      </c>
      <c r="H106" s="45" t="n">
        <v>0</v>
      </c>
      <c r="I106" s="44" t="n">
        <v>0</v>
      </c>
      <c r="J106" s="45" t="n">
        <v>0</v>
      </c>
      <c r="K106" s="44" t="n">
        <v>0</v>
      </c>
    </row>
    <row r="107">
      <c r="A107" s="43" t="n">
        <v>103</v>
      </c>
      <c r="B107" s="43" t="inlineStr">
        <is>
          <t>Karol Guziński</t>
        </is>
      </c>
      <c r="C107" s="44" t="n">
        <v>0</v>
      </c>
      <c r="D107" s="45" t="n">
        <v>0</v>
      </c>
      <c r="E107" s="45" t="n">
        <v>0</v>
      </c>
      <c r="F107" s="45" t="n">
        <v>0</v>
      </c>
      <c r="G107" s="44" t="n">
        <v>0</v>
      </c>
      <c r="H107" s="45" t="n">
        <v>0</v>
      </c>
      <c r="I107" s="44" t="n">
        <v>0</v>
      </c>
      <c r="J107" s="45" t="n">
        <v>270.42</v>
      </c>
      <c r="K107" s="44" t="n">
        <v>-1</v>
      </c>
    </row>
    <row r="108">
      <c r="A108" s="43" t="n">
        <v>104</v>
      </c>
      <c r="B108" s="43" t="inlineStr">
        <is>
          <t>Koszary Arche</t>
        </is>
      </c>
      <c r="C108" s="44" t="n">
        <v>0</v>
      </c>
      <c r="D108" s="45" t="n">
        <v>0</v>
      </c>
      <c r="E108" s="45" t="n">
        <v>0</v>
      </c>
      <c r="F108" s="45" t="n">
        <v>0</v>
      </c>
      <c r="G108" s="44" t="n">
        <v>0</v>
      </c>
      <c r="H108" s="45" t="n">
        <v>0</v>
      </c>
      <c r="I108" s="44" t="n">
        <v>0</v>
      </c>
      <c r="J108" s="45" t="n">
        <v>0</v>
      </c>
      <c r="K108" s="44" t="n">
        <v>0</v>
      </c>
    </row>
    <row r="109">
      <c r="A109" s="43" t="n">
        <v>105</v>
      </c>
      <c r="B109" s="43" t="inlineStr">
        <is>
          <t>Żabka Wola</t>
        </is>
      </c>
      <c r="C109" s="44" t="n">
        <v>0</v>
      </c>
      <c r="D109" s="45" t="n">
        <v>0</v>
      </c>
      <c r="E109" s="45" t="n">
        <v>0</v>
      </c>
      <c r="F109" s="45" t="n">
        <v>0</v>
      </c>
      <c r="G109" s="44" t="n">
        <v>0</v>
      </c>
      <c r="H109" s="45" t="n">
        <v>0</v>
      </c>
      <c r="I109" s="44" t="n">
        <v>0</v>
      </c>
      <c r="J109" s="45" t="n">
        <v>0</v>
      </c>
      <c r="K109" s="44" t="n">
        <v>0</v>
      </c>
    </row>
    <row r="110">
      <c r="A110" s="43" t="n">
        <v>106</v>
      </c>
      <c r="B110" s="43" t="inlineStr">
        <is>
          <t>Sis Power</t>
        </is>
      </c>
      <c r="C110" s="44" t="n">
        <v>0</v>
      </c>
      <c r="D110" s="45" t="n">
        <v>0</v>
      </c>
      <c r="E110" s="45" t="n">
        <v>0</v>
      </c>
      <c r="F110" s="45" t="n">
        <v>0</v>
      </c>
      <c r="G110" s="44" t="n">
        <v>0</v>
      </c>
      <c r="H110" s="45" t="n">
        <v>0</v>
      </c>
      <c r="I110" s="44" t="n">
        <v>0</v>
      </c>
      <c r="J110" s="45" t="n">
        <v>0</v>
      </c>
      <c r="K110" s="44" t="n">
        <v>0</v>
      </c>
    </row>
    <row r="111">
      <c r="A111" s="43" t="n">
        <v>107</v>
      </c>
      <c r="B111" s="43" t="inlineStr">
        <is>
          <t>Maria</t>
        </is>
      </c>
      <c r="C111" s="44" t="n">
        <v>0</v>
      </c>
      <c r="D111" s="45" t="n">
        <v>0</v>
      </c>
      <c r="E111" s="45" t="n">
        <v>0</v>
      </c>
      <c r="F111" s="45" t="n">
        <v>0</v>
      </c>
      <c r="G111" s="44" t="n">
        <v>0</v>
      </c>
      <c r="H111" s="45" t="n">
        <v>0</v>
      </c>
      <c r="I111" s="44" t="n">
        <v>0</v>
      </c>
      <c r="J111" s="45" t="n">
        <v>409.46</v>
      </c>
      <c r="K111" s="44" t="n">
        <v>-1</v>
      </c>
    </row>
    <row r="112">
      <c r="A112" s="43" t="n">
        <v>108</v>
      </c>
      <c r="B112" s="43" t="inlineStr">
        <is>
          <t>STUDIO FRYZUR</t>
        </is>
      </c>
      <c r="C112" s="44" t="n">
        <v>0</v>
      </c>
      <c r="D112" s="45" t="n">
        <v>0</v>
      </c>
      <c r="E112" s="45" t="n">
        <v>0</v>
      </c>
      <c r="F112" s="45" t="n">
        <v>0</v>
      </c>
      <c r="G112" s="44" t="n">
        <v>0</v>
      </c>
      <c r="H112" s="45" t="n">
        <v>0</v>
      </c>
      <c r="I112" s="44" t="n">
        <v>0</v>
      </c>
      <c r="J112" s="45" t="n">
        <v>172.62</v>
      </c>
      <c r="K112" s="44" t="n">
        <v>-1</v>
      </c>
    </row>
    <row r="113">
      <c r="A113" s="43" t="n">
        <v>109</v>
      </c>
      <c r="B113" s="43" t="inlineStr">
        <is>
          <t>Katarzyna Walczak</t>
        </is>
      </c>
      <c r="C113" s="44" t="n">
        <v>0</v>
      </c>
      <c r="D113" s="45" t="n">
        <v>0</v>
      </c>
      <c r="E113" s="45" t="n">
        <v>0</v>
      </c>
      <c r="F113" s="45" t="n">
        <v>0</v>
      </c>
      <c r="G113" s="44" t="n">
        <v>0</v>
      </c>
      <c r="H113" s="45" t="n">
        <v>0</v>
      </c>
      <c r="I113" s="44" t="n">
        <v>0</v>
      </c>
      <c r="J113" s="45" t="n">
        <v>130.685</v>
      </c>
      <c r="K113" s="44" t="n">
        <v>-1</v>
      </c>
    </row>
    <row r="114">
      <c r="A114" s="43" t="n">
        <v>110</v>
      </c>
      <c r="B114" s="43" t="inlineStr">
        <is>
          <t>MWM Media</t>
        </is>
      </c>
      <c r="C114" s="44" t="n">
        <v>0</v>
      </c>
      <c r="D114" s="45" t="n">
        <v>0</v>
      </c>
      <c r="E114" s="45" t="n">
        <v>0</v>
      </c>
      <c r="F114" s="45" t="n">
        <v>0</v>
      </c>
      <c r="G114" s="44" t="n">
        <v>0</v>
      </c>
      <c r="H114" s="45" t="n">
        <v>0</v>
      </c>
      <c r="I114" s="44" t="n">
        <v>0</v>
      </c>
      <c r="J114" s="45" t="n">
        <v>0</v>
      </c>
      <c r="K114" s="44" t="n">
        <v>0</v>
      </c>
    </row>
    <row r="115">
      <c r="A115" s="43" t="n">
        <v>111</v>
      </c>
      <c r="B115" s="43" t="inlineStr">
        <is>
          <t>Ochota na sushi  Lirowa</t>
        </is>
      </c>
      <c r="C115" s="44" t="n">
        <v>0</v>
      </c>
      <c r="D115" s="45" t="n">
        <v>0</v>
      </c>
      <c r="E115" s="45" t="n">
        <v>0</v>
      </c>
      <c r="F115" s="45" t="n">
        <v>0</v>
      </c>
      <c r="G115" s="44" t="n">
        <v>0</v>
      </c>
      <c r="H115" s="45" t="n">
        <v>0</v>
      </c>
      <c r="I115" s="44" t="n">
        <v>0</v>
      </c>
      <c r="J115" s="45" t="n">
        <v>0</v>
      </c>
      <c r="K115" s="44" t="n">
        <v>0</v>
      </c>
    </row>
    <row r="116">
      <c r="A116" s="43" t="n">
        <v>112</v>
      </c>
      <c r="B116" s="43" t="inlineStr">
        <is>
          <t>LOCO MOTYW</t>
        </is>
      </c>
      <c r="C116" s="44" t="n">
        <v>0</v>
      </c>
      <c r="D116" s="45" t="n">
        <v>0</v>
      </c>
      <c r="E116" s="45" t="n">
        <v>0</v>
      </c>
      <c r="F116" s="45" t="n">
        <v>0</v>
      </c>
      <c r="G116" s="44" t="n">
        <v>0</v>
      </c>
      <c r="H116" s="45" t="n">
        <v>0</v>
      </c>
      <c r="I116" s="44" t="n">
        <v>0</v>
      </c>
      <c r="J116" s="45" t="n">
        <v>0</v>
      </c>
      <c r="K116" s="44" t="n">
        <v>0</v>
      </c>
    </row>
    <row r="117">
      <c r="A117" s="43" t="n">
        <v>113</v>
      </c>
      <c r="B117" s="43" t="inlineStr">
        <is>
          <t>Mea Clinic</t>
        </is>
      </c>
      <c r="C117" s="44" t="n">
        <v>0</v>
      </c>
      <c r="D117" s="45" t="n">
        <v>0</v>
      </c>
      <c r="E117" s="45" t="n">
        <v>0</v>
      </c>
      <c r="F117" s="45" t="n">
        <v>0</v>
      </c>
      <c r="G117" s="44" t="n">
        <v>0</v>
      </c>
      <c r="H117" s="45" t="n">
        <v>0</v>
      </c>
      <c r="I117" s="44" t="n">
        <v>0</v>
      </c>
      <c r="J117" s="45" t="n">
        <v>0</v>
      </c>
      <c r="K117" s="44" t="n">
        <v>0</v>
      </c>
    </row>
    <row r="118">
      <c r="A118" s="43" t="n">
        <v>114</v>
      </c>
      <c r="B118" s="43" t="inlineStr">
        <is>
          <t>ORIPO</t>
        </is>
      </c>
      <c r="C118" s="44" t="n">
        <v>0</v>
      </c>
      <c r="D118" s="45" t="n">
        <v>0</v>
      </c>
      <c r="E118" s="45" t="n">
        <v>0</v>
      </c>
      <c r="F118" s="45" t="n">
        <v>0</v>
      </c>
      <c r="G118" s="44" t="n">
        <v>0</v>
      </c>
      <c r="H118" s="45" t="n">
        <v>0</v>
      </c>
      <c r="I118" s="44" t="n">
        <v>0</v>
      </c>
      <c r="J118" s="45" t="n">
        <v>0</v>
      </c>
      <c r="K118" s="44" t="n">
        <v>0</v>
      </c>
    </row>
    <row r="119">
      <c r="A119" s="43" t="n">
        <v>115</v>
      </c>
      <c r="B119" s="43" t="inlineStr">
        <is>
          <t>Blue Hotel</t>
        </is>
      </c>
      <c r="C119" s="44" t="n">
        <v>0</v>
      </c>
      <c r="D119" s="45" t="n">
        <v>0</v>
      </c>
      <c r="E119" s="45" t="n">
        <v>0</v>
      </c>
      <c r="F119" s="45" t="n">
        <v>0</v>
      </c>
      <c r="G119" s="44" t="n">
        <v>0</v>
      </c>
      <c r="H119" s="45" t="n">
        <v>0</v>
      </c>
      <c r="I119" s="44" t="n">
        <v>0</v>
      </c>
      <c r="J119" s="45" t="n">
        <v>0</v>
      </c>
      <c r="K119" s="44" t="n">
        <v>0</v>
      </c>
    </row>
    <row r="120">
      <c r="A120" s="43" t="n">
        <v>116</v>
      </c>
      <c r="B120" s="43" t="inlineStr">
        <is>
          <t>Julian Kołakowski</t>
        </is>
      </c>
      <c r="C120" s="44" t="n">
        <v>0</v>
      </c>
      <c r="D120" s="45" t="n">
        <v>0</v>
      </c>
      <c r="E120" s="45" t="n">
        <v>0</v>
      </c>
      <c r="F120" s="45" t="n">
        <v>0</v>
      </c>
      <c r="G120" s="44" t="n">
        <v>0</v>
      </c>
      <c r="H120" s="45" t="n">
        <v>0</v>
      </c>
      <c r="I120" s="44" t="n">
        <v>0</v>
      </c>
      <c r="J120" s="45" t="n">
        <v>224.33</v>
      </c>
      <c r="K120" s="44" t="n">
        <v>-1</v>
      </c>
    </row>
    <row r="121">
      <c r="A121" s="43" t="n">
        <v>117</v>
      </c>
      <c r="B121" s="43" t="inlineStr">
        <is>
          <t>ABC HIGIENA</t>
        </is>
      </c>
      <c r="C121" s="44" t="n">
        <v>0</v>
      </c>
      <c r="D121" s="45" t="n">
        <v>0</v>
      </c>
      <c r="E121" s="45" t="n">
        <v>0</v>
      </c>
      <c r="F121" s="45" t="n">
        <v>0</v>
      </c>
      <c r="G121" s="44" t="n">
        <v>0</v>
      </c>
      <c r="H121" s="45" t="n">
        <v>0</v>
      </c>
      <c r="I121" s="44" t="n">
        <v>0</v>
      </c>
      <c r="J121" s="45" t="n">
        <v>8197.157999999999</v>
      </c>
      <c r="K121" s="44" t="n">
        <v>-1</v>
      </c>
    </row>
    <row r="122">
      <c r="A122" s="43" t="n">
        <v>118</v>
      </c>
      <c r="B122" s="43" t="inlineStr">
        <is>
          <t>Grzybki Korkowa</t>
        </is>
      </c>
      <c r="C122" s="44" t="n">
        <v>0</v>
      </c>
      <c r="D122" s="45" t="n">
        <v>0</v>
      </c>
      <c r="E122" s="45" t="n">
        <v>0</v>
      </c>
      <c r="F122" s="45" t="n">
        <v>0</v>
      </c>
      <c r="G122" s="44" t="n">
        <v>0</v>
      </c>
      <c r="H122" s="45" t="n">
        <v>0</v>
      </c>
      <c r="I122" s="44" t="n">
        <v>0</v>
      </c>
      <c r="J122" s="45" t="n">
        <v>8498.253333333332</v>
      </c>
      <c r="K122" s="44" t="n">
        <v>-1</v>
      </c>
    </row>
    <row r="123">
      <c r="A123" s="43" t="n">
        <v>119</v>
      </c>
      <c r="B123" s="43" t="inlineStr">
        <is>
          <t>Polityka -kantyna</t>
        </is>
      </c>
      <c r="C123" s="44" t="n">
        <v>0</v>
      </c>
      <c r="D123" s="45" t="n">
        <v>0</v>
      </c>
      <c r="E123" s="45" t="n">
        <v>0</v>
      </c>
      <c r="F123" s="45" t="n">
        <v>0</v>
      </c>
      <c r="G123" s="44" t="n">
        <v>0</v>
      </c>
      <c r="H123" s="45" t="n">
        <v>0</v>
      </c>
      <c r="I123" s="44" t="n">
        <v>0</v>
      </c>
      <c r="J123" s="45" t="n">
        <v>392</v>
      </c>
      <c r="K123" s="44" t="n">
        <v>-1</v>
      </c>
    </row>
    <row r="124">
      <c r="A124" s="43" t="n">
        <v>120</v>
      </c>
      <c r="B124" s="43" t="inlineStr">
        <is>
          <t>Sushi King Żelazna</t>
        </is>
      </c>
      <c r="C124" s="44" t="n">
        <v>0</v>
      </c>
      <c r="D124" s="45" t="n">
        <v>0</v>
      </c>
      <c r="E124" s="45" t="n">
        <v>0</v>
      </c>
      <c r="F124" s="45" t="n">
        <v>0</v>
      </c>
      <c r="G124" s="44" t="n">
        <v>0</v>
      </c>
      <c r="H124" s="45" t="n">
        <v>0</v>
      </c>
      <c r="I124" s="44" t="n">
        <v>0</v>
      </c>
      <c r="J124" s="45" t="n">
        <v>190.88</v>
      </c>
      <c r="K124" s="44" t="n">
        <v>-1</v>
      </c>
    </row>
    <row r="125">
      <c r="A125" s="43" t="n">
        <v>121</v>
      </c>
      <c r="B125" s="43" t="inlineStr">
        <is>
          <t>Ten Sushi</t>
        </is>
      </c>
      <c r="C125" s="44" t="n">
        <v>0</v>
      </c>
      <c r="D125" s="45" t="n">
        <v>0</v>
      </c>
      <c r="E125" s="45" t="n">
        <v>0</v>
      </c>
      <c r="F125" s="45" t="n">
        <v>0</v>
      </c>
      <c r="G125" s="44" t="n">
        <v>0</v>
      </c>
      <c r="H125" s="45" t="n">
        <v>0</v>
      </c>
      <c r="I125" s="44" t="n">
        <v>0</v>
      </c>
      <c r="J125" s="45" t="n">
        <v>672.25</v>
      </c>
      <c r="K125" s="44" t="n">
        <v>-1</v>
      </c>
    </row>
    <row r="126">
      <c r="A126" s="43" t="n">
        <v>122</v>
      </c>
      <c r="B126" s="43" t="inlineStr">
        <is>
          <t>MINI BISTRO</t>
        </is>
      </c>
      <c r="C126" s="44" t="n">
        <v>0</v>
      </c>
      <c r="D126" s="45" t="n">
        <v>0</v>
      </c>
      <c r="E126" s="45" t="n">
        <v>0</v>
      </c>
      <c r="F126" s="45" t="n">
        <v>0</v>
      </c>
      <c r="G126" s="44" t="n">
        <v>0</v>
      </c>
      <c r="H126" s="45" t="n">
        <v>0</v>
      </c>
      <c r="I126" s="44" t="n">
        <v>0</v>
      </c>
      <c r="J126" s="45" t="n">
        <v>381.7433333333333</v>
      </c>
      <c r="K126" s="44" t="n">
        <v>-1</v>
      </c>
    </row>
    <row r="127">
      <c r="A127" s="43" t="n">
        <v>123</v>
      </c>
      <c r="B127" s="43" t="inlineStr">
        <is>
          <t>SKALO - Krzysiek Bogdanowicz</t>
        </is>
      </c>
      <c r="C127" s="44" t="n">
        <v>0</v>
      </c>
      <c r="D127" s="45" t="n">
        <v>0</v>
      </c>
      <c r="E127" s="45" t="n">
        <v>0</v>
      </c>
      <c r="F127" s="45" t="n">
        <v>0</v>
      </c>
      <c r="G127" s="44" t="n">
        <v>0</v>
      </c>
      <c r="H127" s="45" t="n">
        <v>0</v>
      </c>
      <c r="I127" s="44" t="n">
        <v>0</v>
      </c>
      <c r="J127" s="45" t="n">
        <v>1413.75</v>
      </c>
      <c r="K127" s="44" t="n">
        <v>-1</v>
      </c>
    </row>
    <row r="128">
      <c r="A128" s="43" t="n">
        <v>124</v>
      </c>
      <c r="B128" s="43" t="inlineStr">
        <is>
          <t>SKALO - Nataliti.tim</t>
        </is>
      </c>
      <c r="C128" s="44" t="n">
        <v>0</v>
      </c>
      <c r="D128" s="45" t="n">
        <v>0</v>
      </c>
      <c r="E128" s="45" t="n">
        <v>0</v>
      </c>
      <c r="F128" s="45" t="n">
        <v>0</v>
      </c>
      <c r="G128" s="44" t="n">
        <v>0</v>
      </c>
      <c r="H128" s="45" t="n">
        <v>0</v>
      </c>
      <c r="I128" s="44" t="n">
        <v>0</v>
      </c>
      <c r="J128" s="45" t="n">
        <v>314.69</v>
      </c>
      <c r="K128" s="44" t="n">
        <v>-1</v>
      </c>
    </row>
    <row r="129">
      <c r="A129" s="43" t="n">
        <v>125</v>
      </c>
      <c r="B129" s="43" t="inlineStr">
        <is>
          <t>SKALO - Sushi Today by Sakana</t>
        </is>
      </c>
      <c r="C129" s="44" t="n">
        <v>0</v>
      </c>
      <c r="D129" s="45" t="n">
        <v>0</v>
      </c>
      <c r="E129" s="45" t="n">
        <v>0</v>
      </c>
      <c r="F129" s="45" t="n">
        <v>0</v>
      </c>
      <c r="G129" s="44" t="n">
        <v>0</v>
      </c>
      <c r="H129" s="45" t="n">
        <v>0</v>
      </c>
      <c r="I129" s="44" t="n">
        <v>0</v>
      </c>
      <c r="J129" s="45" t="n">
        <v>380.71</v>
      </c>
      <c r="K129" s="44" t="n">
        <v>-1</v>
      </c>
    </row>
    <row r="130">
      <c r="A130" s="43" t="n">
        <v>126</v>
      </c>
      <c r="B130" s="43" t="inlineStr">
        <is>
          <t>Tomasz Zalewski 2</t>
        </is>
      </c>
      <c r="C130" s="44" t="n">
        <v>0</v>
      </c>
      <c r="D130" s="45" t="n">
        <v>0</v>
      </c>
      <c r="E130" s="45" t="n">
        <v>0</v>
      </c>
      <c r="F130" s="45" t="n">
        <v>0</v>
      </c>
      <c r="G130" s="44" t="n">
        <v>0</v>
      </c>
      <c r="H130" s="45" t="n">
        <v>0</v>
      </c>
      <c r="I130" s="44" t="n">
        <v>0</v>
      </c>
      <c r="J130" s="45" t="n">
        <v>180.44</v>
      </c>
      <c r="K130" s="44" t="n">
        <v>-1</v>
      </c>
    </row>
    <row r="131">
      <c r="A131" s="43" t="n">
        <v>127</v>
      </c>
      <c r="B131" s="43" t="inlineStr">
        <is>
          <t>Sypka Mąka</t>
        </is>
      </c>
      <c r="C131" s="44" t="n">
        <v>0</v>
      </c>
      <c r="D131" s="45" t="n">
        <v>0</v>
      </c>
      <c r="E131" s="45" t="n">
        <v>0</v>
      </c>
      <c r="F131" s="45" t="n">
        <v>0</v>
      </c>
      <c r="G131" s="44" t="n">
        <v>0</v>
      </c>
      <c r="H131" s="45" t="n">
        <v>0</v>
      </c>
      <c r="I131" s="44" t="n">
        <v>0</v>
      </c>
      <c r="J131" s="45" t="n">
        <v>0</v>
      </c>
      <c r="K131" s="44" t="n">
        <v>0</v>
      </c>
    </row>
    <row r="132">
      <c r="A132" s="43" t="n">
        <v>128</v>
      </c>
      <c r="B132" s="43" t="inlineStr">
        <is>
          <t>Samsung</t>
        </is>
      </c>
      <c r="C132" s="44" t="n">
        <v>0</v>
      </c>
      <c r="D132" s="45" t="n">
        <v>0</v>
      </c>
      <c r="E132" s="45" t="n">
        <v>0</v>
      </c>
      <c r="F132" s="45" t="n">
        <v>0</v>
      </c>
      <c r="G132" s="44" t="n">
        <v>0</v>
      </c>
      <c r="H132" s="45" t="n">
        <v>0</v>
      </c>
      <c r="I132" s="44" t="n">
        <v>0</v>
      </c>
      <c r="J132" s="45" t="n">
        <v>0</v>
      </c>
      <c r="K132" s="44" t="n">
        <v>0</v>
      </c>
    </row>
    <row r="133">
      <c r="A133" s="43" t="n">
        <v>129</v>
      </c>
      <c r="B133" s="43" t="inlineStr">
        <is>
          <t xml:space="preserve">Soplicowo </t>
        </is>
      </c>
      <c r="C133" s="44" t="n">
        <v>0</v>
      </c>
      <c r="D133" s="45" t="n">
        <v>0</v>
      </c>
      <c r="E133" s="45" t="n">
        <v>0</v>
      </c>
      <c r="F133" s="45" t="n">
        <v>0</v>
      </c>
      <c r="G133" s="44" t="n">
        <v>0</v>
      </c>
      <c r="H133" s="45" t="n">
        <v>0</v>
      </c>
      <c r="I133" s="44" t="n">
        <v>0</v>
      </c>
      <c r="J133" s="45" t="n">
        <v>0</v>
      </c>
      <c r="K133" s="44" t="n">
        <v>0</v>
      </c>
    </row>
    <row r="134">
      <c r="A134" s="43" t="n">
        <v>130</v>
      </c>
      <c r="B134" s="43" t="inlineStr">
        <is>
          <t>AIR LIQUIDE</t>
        </is>
      </c>
      <c r="C134" s="44" t="n">
        <v>0</v>
      </c>
      <c r="D134" s="45" t="n">
        <v>0</v>
      </c>
      <c r="E134" s="45" t="n">
        <v>0</v>
      </c>
      <c r="F134" s="45" t="n">
        <v>0</v>
      </c>
      <c r="G134" s="44" t="n">
        <v>0</v>
      </c>
      <c r="H134" s="45" t="n">
        <v>0</v>
      </c>
      <c r="I134" s="44" t="n">
        <v>0</v>
      </c>
      <c r="J134" s="45" t="n">
        <v>0</v>
      </c>
      <c r="K134" s="44" t="n">
        <v>0</v>
      </c>
    </row>
    <row r="135">
      <c r="A135" s="43" t="n">
        <v>131</v>
      </c>
      <c r="B135" s="43" t="inlineStr">
        <is>
          <t>Marcin Rękawek</t>
        </is>
      </c>
      <c r="C135" s="44" t="n">
        <v>0</v>
      </c>
      <c r="D135" s="45" t="n">
        <v>0</v>
      </c>
      <c r="E135" s="45" t="n">
        <v>0</v>
      </c>
      <c r="F135" s="45" t="n">
        <v>0</v>
      </c>
      <c r="G135" s="44" t="n">
        <v>0</v>
      </c>
      <c r="H135" s="45" t="n">
        <v>0</v>
      </c>
      <c r="I135" s="44" t="n">
        <v>0</v>
      </c>
      <c r="J135" s="45" t="n">
        <v>0</v>
      </c>
      <c r="K135" s="44" t="n">
        <v>0</v>
      </c>
    </row>
    <row r="136">
      <c r="A136" s="43" t="n">
        <v>132</v>
      </c>
      <c r="B136" s="43" t="inlineStr">
        <is>
          <t>Karol Główczyński</t>
        </is>
      </c>
      <c r="C136" s="44" t="n">
        <v>0</v>
      </c>
      <c r="D136" s="45" t="n">
        <v>0</v>
      </c>
      <c r="E136" s="45" t="n">
        <v>0</v>
      </c>
      <c r="F136" s="45" t="n">
        <v>0</v>
      </c>
      <c r="G136" s="44" t="n">
        <v>0</v>
      </c>
      <c r="H136" s="45" t="n">
        <v>0</v>
      </c>
      <c r="I136" s="44" t="n">
        <v>0</v>
      </c>
      <c r="J136" s="45" t="n">
        <v>0</v>
      </c>
      <c r="K136" s="44" t="n">
        <v>0</v>
      </c>
    </row>
    <row r="137">
      <c r="A137" s="43" t="n">
        <v>133</v>
      </c>
      <c r="B137" s="43" t="inlineStr">
        <is>
          <t>Orzo KONSTYTUCJI</t>
        </is>
      </c>
      <c r="C137" s="44" t="n">
        <v>0</v>
      </c>
      <c r="D137" s="45" t="n">
        <v>0</v>
      </c>
      <c r="E137" s="45" t="n">
        <v>0</v>
      </c>
      <c r="F137" s="45" t="n">
        <v>0</v>
      </c>
      <c r="G137" s="44" t="n">
        <v>0</v>
      </c>
      <c r="H137" s="45" t="n">
        <v>0</v>
      </c>
      <c r="I137" s="44" t="n">
        <v>0</v>
      </c>
      <c r="J137" s="45" t="n">
        <v>4403.295</v>
      </c>
      <c r="K137" s="44" t="n">
        <v>-1</v>
      </c>
    </row>
    <row r="138">
      <c r="A138" s="43" t="n">
        <v>134</v>
      </c>
      <c r="B138" s="43" t="inlineStr">
        <is>
          <t>MIMOSA</t>
        </is>
      </c>
      <c r="C138" s="44" t="n">
        <v>0</v>
      </c>
      <c r="D138" s="45" t="n">
        <v>0</v>
      </c>
      <c r="E138" s="45" t="n">
        <v>0</v>
      </c>
      <c r="F138" s="45" t="n">
        <v>0</v>
      </c>
      <c r="G138" s="44" t="n">
        <v>0</v>
      </c>
      <c r="H138" s="45" t="n">
        <v>0</v>
      </c>
      <c r="I138" s="44" t="n">
        <v>0</v>
      </c>
      <c r="J138" s="45" t="n">
        <v>3682.306666666667</v>
      </c>
      <c r="K138" s="44" t="n">
        <v>-1</v>
      </c>
    </row>
    <row r="139">
      <c r="A139" s="43" t="n">
        <v>135</v>
      </c>
      <c r="B139" s="43" t="inlineStr">
        <is>
          <t>MAMKA</t>
        </is>
      </c>
      <c r="C139" s="44" t="n">
        <v>0</v>
      </c>
      <c r="D139" s="45" t="n">
        <v>0</v>
      </c>
      <c r="E139" s="45" t="n">
        <v>0</v>
      </c>
      <c r="F139" s="45" t="n">
        <v>0</v>
      </c>
      <c r="G139" s="44" t="n">
        <v>0</v>
      </c>
      <c r="H139" s="45" t="n">
        <v>0</v>
      </c>
      <c r="I139" s="44" t="n">
        <v>0</v>
      </c>
      <c r="J139" s="45" t="n">
        <v>2967.165</v>
      </c>
      <c r="K139" s="44" t="n">
        <v>-1</v>
      </c>
    </row>
    <row r="140">
      <c r="A140" s="43" t="n">
        <v>136</v>
      </c>
      <c r="B140" s="43" t="inlineStr">
        <is>
          <t>HG ROBOTICS</t>
        </is>
      </c>
      <c r="C140" s="44" t="n">
        <v>0</v>
      </c>
      <c r="D140" s="45" t="n">
        <v>0</v>
      </c>
      <c r="E140" s="45" t="n">
        <v>0</v>
      </c>
      <c r="F140" s="45" t="n">
        <v>0</v>
      </c>
      <c r="G140" s="44" t="n">
        <v>0</v>
      </c>
      <c r="H140" s="45" t="n">
        <v>0</v>
      </c>
      <c r="I140" s="44" t="n">
        <v>0</v>
      </c>
      <c r="J140" s="45" t="n">
        <v>124</v>
      </c>
      <c r="K140" s="44" t="n">
        <v>-1</v>
      </c>
    </row>
    <row r="141">
      <c r="A141" s="43" t="n">
        <v>137</v>
      </c>
      <c r="B141" s="43" t="inlineStr">
        <is>
          <t>Grillini - NALEŚNIK EXPRESS</t>
        </is>
      </c>
      <c r="C141" s="44" t="n">
        <v>0</v>
      </c>
      <c r="D141" s="45" t="n">
        <v>0</v>
      </c>
      <c r="E141" s="45" t="n">
        <v>0</v>
      </c>
      <c r="F141" s="45" t="n">
        <v>0</v>
      </c>
      <c r="G141" s="44" t="n">
        <v>0</v>
      </c>
      <c r="H141" s="45" t="n">
        <v>0</v>
      </c>
      <c r="I141" s="44" t="n">
        <v>0</v>
      </c>
      <c r="J141" s="45" t="n">
        <v>546.8050000000001</v>
      </c>
      <c r="K141" s="44" t="n">
        <v>-1</v>
      </c>
    </row>
    <row r="142">
      <c r="A142" s="43" t="n">
        <v>138</v>
      </c>
      <c r="B142" s="43" t="inlineStr">
        <is>
          <t>VADIM</t>
        </is>
      </c>
      <c r="C142" s="44" t="n">
        <v>0</v>
      </c>
      <c r="D142" s="45" t="n">
        <v>0</v>
      </c>
      <c r="E142" s="45" t="n">
        <v>0</v>
      </c>
      <c r="F142" s="45" t="n">
        <v>0</v>
      </c>
      <c r="G142" s="44" t="n">
        <v>0</v>
      </c>
      <c r="H142" s="45" t="n">
        <v>0</v>
      </c>
      <c r="I142" s="44" t="n">
        <v>0</v>
      </c>
      <c r="J142" s="45" t="n">
        <v>1901.163333333333</v>
      </c>
      <c r="K142" s="44" t="n">
        <v>-1</v>
      </c>
    </row>
    <row r="143">
      <c r="A143" s="43" t="n">
        <v>139</v>
      </c>
      <c r="B143" s="43" t="inlineStr">
        <is>
          <t>PROSUSHI KRAKÓW</t>
        </is>
      </c>
      <c r="C143" s="44" t="n">
        <v>0</v>
      </c>
      <c r="D143" s="45" t="n">
        <v>0</v>
      </c>
      <c r="E143" s="45" t="n">
        <v>0</v>
      </c>
      <c r="F143" s="45" t="n">
        <v>0</v>
      </c>
      <c r="G143" s="44" t="n">
        <v>0</v>
      </c>
      <c r="H143" s="45" t="n">
        <v>0</v>
      </c>
      <c r="I143" s="44" t="n">
        <v>0</v>
      </c>
      <c r="J143" s="45" t="n">
        <v>1165.945</v>
      </c>
      <c r="K143" s="44" t="n">
        <v>-1</v>
      </c>
    </row>
    <row r="144">
      <c r="A144" s="43" t="n">
        <v>140</v>
      </c>
      <c r="B144" s="43" t="inlineStr">
        <is>
          <t>SKALO - Burgelab</t>
        </is>
      </c>
      <c r="C144" s="44" t="n">
        <v>0</v>
      </c>
      <c r="D144" s="45" t="n">
        <v>0</v>
      </c>
      <c r="E144" s="45" t="n">
        <v>0</v>
      </c>
      <c r="F144" s="45" t="n">
        <v>0</v>
      </c>
      <c r="G144" s="44" t="n">
        <v>0</v>
      </c>
      <c r="H144" s="45" t="n">
        <v>0</v>
      </c>
      <c r="I144" s="44" t="n">
        <v>0</v>
      </c>
      <c r="J144" s="45" t="n">
        <v>403.53</v>
      </c>
      <c r="K144" s="44" t="n">
        <v>-1</v>
      </c>
    </row>
    <row r="145">
      <c r="A145" s="43" t="n">
        <v>141</v>
      </c>
      <c r="B145" s="43" t="inlineStr">
        <is>
          <t>MET POP-UP</t>
        </is>
      </c>
      <c r="C145" s="44" t="n">
        <v>0</v>
      </c>
      <c r="D145" s="45" t="n">
        <v>0</v>
      </c>
      <c r="E145" s="45" t="n">
        <v>0</v>
      </c>
      <c r="F145" s="45" t="n">
        <v>0</v>
      </c>
      <c r="G145" s="44" t="n">
        <v>0</v>
      </c>
      <c r="H145" s="45" t="n">
        <v>0</v>
      </c>
      <c r="I145" s="44" t="n">
        <v>0</v>
      </c>
      <c r="J145" s="45" t="n">
        <v>663.8633333333333</v>
      </c>
      <c r="K145" s="44" t="n">
        <v>-1</v>
      </c>
    </row>
    <row r="146">
      <c r="A146" s="43" t="n">
        <v>142</v>
      </c>
      <c r="B146" s="43" t="inlineStr">
        <is>
          <t>PRIME CYBER LOUNGLE</t>
        </is>
      </c>
      <c r="C146" s="44" t="n">
        <v>0</v>
      </c>
      <c r="D146" s="45" t="n">
        <v>0</v>
      </c>
      <c r="E146" s="45" t="n">
        <v>0</v>
      </c>
      <c r="F146" s="45" t="n">
        <v>0</v>
      </c>
      <c r="G146" s="44" t="n">
        <v>0</v>
      </c>
      <c r="H146" s="45" t="n">
        <v>0</v>
      </c>
      <c r="I146" s="44" t="n">
        <v>0</v>
      </c>
      <c r="J146" s="45" t="n">
        <v>431.76</v>
      </c>
      <c r="K146" s="44" t="n">
        <v>-1</v>
      </c>
    </row>
    <row r="147">
      <c r="A147" s="43" t="n">
        <v>143</v>
      </c>
      <c r="B147" s="43" t="inlineStr">
        <is>
          <t>SKALO - Jot Wilanów</t>
        </is>
      </c>
      <c r="C147" s="44" t="n">
        <v>0</v>
      </c>
      <c r="D147" s="45" t="n">
        <v>0</v>
      </c>
      <c r="E147" s="45" t="n">
        <v>0</v>
      </c>
      <c r="F147" s="45" t="n">
        <v>0</v>
      </c>
      <c r="G147" s="44" t="n">
        <v>0</v>
      </c>
      <c r="H147" s="45" t="n">
        <v>0</v>
      </c>
      <c r="I147" s="44" t="n">
        <v>0</v>
      </c>
      <c r="J147" s="45" t="n">
        <v>1939.695</v>
      </c>
      <c r="K147" s="44" t="n">
        <v>-1</v>
      </c>
    </row>
    <row r="148">
      <c r="A148" s="43" t="n">
        <v>144</v>
      </c>
      <c r="B148" s="43" t="inlineStr">
        <is>
          <t>SOUR DELI</t>
        </is>
      </c>
      <c r="C148" s="44" t="n">
        <v>0</v>
      </c>
      <c r="D148" s="45" t="n">
        <v>0</v>
      </c>
      <c r="E148" s="45" t="n">
        <v>0</v>
      </c>
      <c r="F148" s="45" t="n">
        <v>0</v>
      </c>
      <c r="G148" s="44" t="n">
        <v>0</v>
      </c>
      <c r="H148" s="45" t="n">
        <v>0</v>
      </c>
      <c r="I148" s="44" t="n">
        <v>0</v>
      </c>
      <c r="J148" s="45" t="n">
        <v>399.21</v>
      </c>
      <c r="K148" s="44" t="n">
        <v>-1</v>
      </c>
    </row>
    <row r="149">
      <c r="A149" s="43" t="n">
        <v>145</v>
      </c>
      <c r="B149" s="43" t="inlineStr">
        <is>
          <t>RAJ FOOD</t>
        </is>
      </c>
      <c r="C149" s="44" t="n">
        <v>0</v>
      </c>
      <c r="D149" s="45" t="n">
        <v>0</v>
      </c>
      <c r="E149" s="45" t="n">
        <v>0</v>
      </c>
      <c r="F149" s="45" t="n">
        <v>0</v>
      </c>
      <c r="G149" s="44" t="n">
        <v>0</v>
      </c>
      <c r="H149" s="45" t="n">
        <v>0</v>
      </c>
      <c r="I149" s="44" t="n">
        <v>0</v>
      </c>
      <c r="J149" s="45" t="n">
        <v>460.75</v>
      </c>
      <c r="K149" s="44" t="n">
        <v>-1</v>
      </c>
    </row>
    <row r="150">
      <c r="A150" s="43" t="n">
        <v>146</v>
      </c>
      <c r="B150" s="43" t="inlineStr">
        <is>
          <t>SKALO - Burgerlab</t>
        </is>
      </c>
      <c r="C150" s="44" t="n">
        <v>0</v>
      </c>
      <c r="D150" s="45" t="n">
        <v>0</v>
      </c>
      <c r="E150" s="45" t="n">
        <v>0</v>
      </c>
      <c r="F150" s="45" t="n">
        <v>0</v>
      </c>
      <c r="G150" s="44" t="n">
        <v>0</v>
      </c>
      <c r="H150" s="45" t="n">
        <v>0</v>
      </c>
      <c r="I150" s="44" t="n">
        <v>0</v>
      </c>
      <c r="J150" s="45" t="n">
        <v>964.2433333333333</v>
      </c>
      <c r="K150" s="44" t="n">
        <v>-1</v>
      </c>
    </row>
    <row r="151">
      <c r="A151" s="43" t="n">
        <v>147</v>
      </c>
      <c r="B151" s="43" t="inlineStr">
        <is>
          <t xml:space="preserve">SKALO -NO TO OLIDELI </t>
        </is>
      </c>
      <c r="C151" s="44" t="n">
        <v>0</v>
      </c>
      <c r="D151" s="45" t="n">
        <v>0</v>
      </c>
      <c r="E151" s="45" t="n">
        <v>0</v>
      </c>
      <c r="F151" s="45" t="n">
        <v>0</v>
      </c>
      <c r="G151" s="44" t="n">
        <v>0</v>
      </c>
      <c r="H151" s="45" t="n">
        <v>0</v>
      </c>
      <c r="I151" s="44" t="n">
        <v>0</v>
      </c>
      <c r="J151" s="45" t="n">
        <v>935.6900000000001</v>
      </c>
      <c r="K151" s="44" t="n">
        <v>-1</v>
      </c>
    </row>
    <row r="152">
      <c r="A152" s="43" t="n">
        <v>148</v>
      </c>
      <c r="B152" s="43" t="inlineStr">
        <is>
          <t xml:space="preserve">Figa z Makiem </t>
        </is>
      </c>
      <c r="C152" s="44" t="n">
        <v>0</v>
      </c>
      <c r="D152" s="45" t="n">
        <v>0</v>
      </c>
      <c r="E152" s="45" t="n">
        <v>0</v>
      </c>
      <c r="F152" s="45" t="n">
        <v>0</v>
      </c>
      <c r="G152" s="44" t="n">
        <v>0</v>
      </c>
      <c r="H152" s="45" t="n">
        <v>0</v>
      </c>
      <c r="I152" s="44" t="n">
        <v>0</v>
      </c>
      <c r="J152" s="45" t="n">
        <v>884.58</v>
      </c>
      <c r="K152" s="44" t="n">
        <v>-1</v>
      </c>
    </row>
    <row r="153">
      <c r="A153" s="43" t="n">
        <v>149</v>
      </c>
      <c r="B153" s="43" t="inlineStr">
        <is>
          <t>SKALO- Wozownia</t>
        </is>
      </c>
      <c r="C153" s="44" t="n">
        <v>0</v>
      </c>
      <c r="D153" s="45" t="n">
        <v>0</v>
      </c>
      <c r="E153" s="45" t="n">
        <v>0</v>
      </c>
      <c r="F153" s="45" t="n">
        <v>0</v>
      </c>
      <c r="G153" s="44" t="n">
        <v>0</v>
      </c>
      <c r="H153" s="45" t="n">
        <v>0</v>
      </c>
      <c r="I153" s="44" t="n">
        <v>0</v>
      </c>
      <c r="J153" s="45" t="n">
        <v>401.43</v>
      </c>
      <c r="K153" s="44" t="n">
        <v>-1</v>
      </c>
    </row>
    <row r="154">
      <c r="A154" s="43" t="n">
        <v>150</v>
      </c>
      <c r="B154" s="43" t="inlineStr">
        <is>
          <t>SKALO - NO TU OLIDELI</t>
        </is>
      </c>
      <c r="C154" s="44" t="n">
        <v>0</v>
      </c>
      <c r="D154" s="45" t="n">
        <v>0</v>
      </c>
      <c r="E154" s="45" t="n">
        <v>0</v>
      </c>
      <c r="F154" s="45" t="n">
        <v>0</v>
      </c>
      <c r="G154" s="44" t="n">
        <v>0</v>
      </c>
      <c r="H154" s="45" t="n">
        <v>0</v>
      </c>
      <c r="I154" s="44" t="n">
        <v>0</v>
      </c>
      <c r="J154" s="45" t="n">
        <v>1445.93</v>
      </c>
      <c r="K154" s="44" t="n">
        <v>-1</v>
      </c>
    </row>
    <row r="155">
      <c r="A155" s="43" t="n">
        <v>151</v>
      </c>
      <c r="B155" s="43" t="inlineStr">
        <is>
          <t>SKALO - Margarite Ros</t>
        </is>
      </c>
      <c r="C155" s="44" t="n">
        <v>0</v>
      </c>
      <c r="D155" s="45" t="n">
        <v>0</v>
      </c>
      <c r="E155" s="45" t="n">
        <v>0</v>
      </c>
      <c r="F155" s="45" t="n">
        <v>0</v>
      </c>
      <c r="G155" s="44" t="n">
        <v>0</v>
      </c>
      <c r="H155" s="45" t="n">
        <v>0</v>
      </c>
      <c r="I155" s="44" t="n">
        <v>0</v>
      </c>
      <c r="J155" s="45" t="n">
        <v>966.4299999999999</v>
      </c>
      <c r="K155" s="44" t="n">
        <v>-1</v>
      </c>
    </row>
    <row r="156">
      <c r="A156" s="43" t="n">
        <v>152</v>
      </c>
      <c r="B156" s="43" t="inlineStr">
        <is>
          <t>SKALO - Jot OMA</t>
        </is>
      </c>
      <c r="C156" s="44" t="n">
        <v>0</v>
      </c>
      <c r="D156" s="45" t="n">
        <v>0</v>
      </c>
      <c r="E156" s="45" t="n">
        <v>0</v>
      </c>
      <c r="F156" s="45" t="n">
        <v>0</v>
      </c>
      <c r="G156" s="44" t="n">
        <v>0</v>
      </c>
      <c r="H156" s="45" t="n">
        <v>0</v>
      </c>
      <c r="I156" s="44" t="n">
        <v>0</v>
      </c>
      <c r="J156" s="45" t="n">
        <v>1476.95</v>
      </c>
      <c r="K156" s="44" t="n">
        <v>-1</v>
      </c>
    </row>
    <row r="157">
      <c r="A157" s="43" t="n">
        <v>153</v>
      </c>
      <c r="B157" s="43" t="inlineStr">
        <is>
          <t>SKALO - Agli Amici</t>
        </is>
      </c>
      <c r="C157" s="44" t="n">
        <v>0</v>
      </c>
      <c r="D157" s="45" t="n">
        <v>0</v>
      </c>
      <c r="E157" s="45" t="n">
        <v>0</v>
      </c>
      <c r="F157" s="45" t="n">
        <v>0</v>
      </c>
      <c r="G157" s="44" t="n">
        <v>0</v>
      </c>
      <c r="H157" s="45" t="n">
        <v>0</v>
      </c>
      <c r="I157" s="44" t="n">
        <v>0</v>
      </c>
      <c r="J157" s="45" t="n">
        <v>1486.7</v>
      </c>
      <c r="K157" s="44" t="n">
        <v>-1</v>
      </c>
    </row>
    <row r="158">
      <c r="A158" s="43" t="n">
        <v>154</v>
      </c>
      <c r="B158" s="43" t="inlineStr">
        <is>
          <t>Rada Rodziców</t>
        </is>
      </c>
      <c r="C158" s="44" t="n">
        <v>0</v>
      </c>
      <c r="D158" s="45" t="n">
        <v>0</v>
      </c>
      <c r="E158" s="45" t="n">
        <v>0</v>
      </c>
      <c r="F158" s="45" t="n">
        <v>0</v>
      </c>
      <c r="G158" s="44" t="n">
        <v>0</v>
      </c>
      <c r="H158" s="45" t="n">
        <v>0</v>
      </c>
      <c r="I158" s="44" t="n">
        <v>0</v>
      </c>
      <c r="J158" s="45" t="n">
        <v>279.31</v>
      </c>
      <c r="K158" s="44" t="n">
        <v>-1</v>
      </c>
    </row>
    <row r="159">
      <c r="A159" s="43" t="n">
        <v>155</v>
      </c>
      <c r="B159" s="43" t="inlineStr">
        <is>
          <t>SKALO -  Steak Dolna</t>
        </is>
      </c>
      <c r="C159" s="44" t="n">
        <v>0</v>
      </c>
      <c r="D159" s="45" t="n">
        <v>0</v>
      </c>
      <c r="E159" s="45" t="n">
        <v>0</v>
      </c>
      <c r="F159" s="45" t="n">
        <v>0</v>
      </c>
      <c r="G159" s="44" t="n">
        <v>0</v>
      </c>
      <c r="H159" s="45" t="n">
        <v>0</v>
      </c>
      <c r="I159" s="44" t="n">
        <v>0</v>
      </c>
      <c r="J159" s="45" t="n">
        <v>593.875</v>
      </c>
      <c r="K159" s="44" t="n">
        <v>-1</v>
      </c>
    </row>
    <row r="160">
      <c r="A160" s="43" t="n">
        <v>156</v>
      </c>
      <c r="B160" s="43" t="inlineStr">
        <is>
          <t>VIAKOSMO</t>
        </is>
      </c>
      <c r="C160" s="44" t="n">
        <v>0</v>
      </c>
      <c r="D160" s="45" t="n">
        <v>0</v>
      </c>
      <c r="E160" s="45" t="n">
        <v>0</v>
      </c>
      <c r="F160" s="45" t="n">
        <v>0</v>
      </c>
      <c r="G160" s="44" t="n">
        <v>0</v>
      </c>
      <c r="H160" s="45" t="n">
        <v>0</v>
      </c>
      <c r="I160" s="44" t="n">
        <v>0</v>
      </c>
      <c r="J160" s="45" t="n">
        <v>53.28</v>
      </c>
      <c r="K160" s="44" t="n">
        <v>-1</v>
      </c>
    </row>
    <row r="161">
      <c r="A161" s="43" t="n">
        <v>157</v>
      </c>
      <c r="B161" s="43" t="inlineStr">
        <is>
          <t>Gold Sushi</t>
        </is>
      </c>
      <c r="C161" s="44" t="n">
        <v>0</v>
      </c>
      <c r="D161" s="45" t="n">
        <v>0</v>
      </c>
      <c r="E161" s="45" t="n">
        <v>0</v>
      </c>
      <c r="F161" s="45" t="n">
        <v>0</v>
      </c>
      <c r="G161" s="44" t="n">
        <v>0</v>
      </c>
      <c r="H161" s="45" t="n">
        <v>1633.95</v>
      </c>
      <c r="I161" s="44" t="n">
        <v>-1</v>
      </c>
      <c r="J161" s="45" t="n">
        <v>1633.95</v>
      </c>
      <c r="K161" s="44" t="n">
        <v>-1</v>
      </c>
    </row>
    <row r="162">
      <c r="A162" s="43" t="n">
        <v>158</v>
      </c>
      <c r="B162" s="43" t="inlineStr">
        <is>
          <t>Kamil Majcher</t>
        </is>
      </c>
      <c r="C162" s="44" t="n">
        <v>0</v>
      </c>
      <c r="D162" s="45" t="n">
        <v>0</v>
      </c>
      <c r="E162" s="45" t="n">
        <v>0</v>
      </c>
      <c r="F162" s="45" t="n">
        <v>0</v>
      </c>
      <c r="G162" s="44" t="n">
        <v>0</v>
      </c>
      <c r="H162" s="45" t="n">
        <v>0</v>
      </c>
      <c r="I162" s="44" t="n">
        <v>0</v>
      </c>
      <c r="J162" s="45" t="n">
        <v>47</v>
      </c>
      <c r="K162" s="44" t="n">
        <v>-1</v>
      </c>
    </row>
    <row r="163">
      <c r="A163" s="43" t="n">
        <v>159</v>
      </c>
      <c r="B163" s="43" t="inlineStr">
        <is>
          <t>Wawa Events</t>
        </is>
      </c>
      <c r="C163" s="44" t="n">
        <v>0</v>
      </c>
      <c r="D163" s="45" t="n">
        <v>0</v>
      </c>
      <c r="E163" s="45" t="n">
        <v>0</v>
      </c>
      <c r="F163" s="45" t="n">
        <v>0</v>
      </c>
      <c r="G163" s="44" t="n">
        <v>0</v>
      </c>
      <c r="H163" s="45" t="n">
        <v>0</v>
      </c>
      <c r="I163" s="44" t="n">
        <v>0</v>
      </c>
      <c r="J163" s="45" t="n">
        <v>1188.16</v>
      </c>
      <c r="K163" s="44" t="n">
        <v>-1</v>
      </c>
    </row>
    <row r="164">
      <c r="A164" s="43" t="n">
        <v>160</v>
      </c>
      <c r="B164" s="43" t="inlineStr">
        <is>
          <t>IGLOTEX</t>
        </is>
      </c>
      <c r="C164" s="44" t="n">
        <v>0</v>
      </c>
      <c r="D164" s="45" t="n">
        <v>0</v>
      </c>
      <c r="E164" s="45" t="n">
        <v>0</v>
      </c>
      <c r="F164" s="45" t="n">
        <v>0</v>
      </c>
      <c r="G164" s="44" t="n">
        <v>0</v>
      </c>
      <c r="H164" s="45" t="n">
        <v>184.74</v>
      </c>
      <c r="I164" s="44" t="n">
        <v>-1</v>
      </c>
      <c r="J164" s="45" t="n">
        <v>105.48</v>
      </c>
      <c r="K164" s="44" t="n">
        <v>-1</v>
      </c>
    </row>
    <row r="165">
      <c r="A165" s="43" t="n">
        <v>161</v>
      </c>
      <c r="B165" s="43" t="inlineStr">
        <is>
          <t>Manufaktura Sushi TARCZYN</t>
        </is>
      </c>
      <c r="C165" s="44" t="n">
        <v>0</v>
      </c>
      <c r="D165" s="45" t="n">
        <v>0</v>
      </c>
      <c r="E165" s="45" t="n">
        <v>0</v>
      </c>
      <c r="F165" s="45" t="n">
        <v>0</v>
      </c>
      <c r="G165" s="44" t="n">
        <v>0</v>
      </c>
      <c r="H165" s="45" t="n">
        <v>1074.29</v>
      </c>
      <c r="I165" s="44" t="n">
        <v>-1</v>
      </c>
      <c r="J165" s="45" t="n">
        <v>1074.29</v>
      </c>
      <c r="K165" s="44" t="n">
        <v>-1</v>
      </c>
    </row>
    <row r="166">
      <c r="A166" s="43" t="n">
        <v>162</v>
      </c>
      <c r="B166" s="43" t="inlineStr">
        <is>
          <t>SKALO - Smasz It</t>
        </is>
      </c>
      <c r="C166" s="44" t="n">
        <v>0</v>
      </c>
      <c r="D166" s="45" t="n">
        <v>0</v>
      </c>
      <c r="E166" s="45" t="n">
        <v>0</v>
      </c>
      <c r="F166" s="45" t="n">
        <v>0</v>
      </c>
      <c r="G166" s="44" t="n">
        <v>0</v>
      </c>
      <c r="H166" s="45" t="n">
        <v>621.15</v>
      </c>
      <c r="I166" s="44" t="n">
        <v>-1</v>
      </c>
      <c r="J166" s="45" t="n">
        <v>621.15</v>
      </c>
      <c r="K166" s="44" t="n">
        <v>-1</v>
      </c>
    </row>
    <row r="167">
      <c r="A167" s="43" t="n">
        <v>163</v>
      </c>
      <c r="B167" s="43" t="inlineStr">
        <is>
          <t>Limone</t>
        </is>
      </c>
      <c r="C167" s="44" t="n">
        <v>0</v>
      </c>
      <c r="D167" s="45" t="n">
        <v>0</v>
      </c>
      <c r="E167" s="45" t="n">
        <v>0</v>
      </c>
      <c r="F167" s="45" t="n">
        <v>0</v>
      </c>
      <c r="G167" s="44" t="n">
        <v>0</v>
      </c>
      <c r="H167" s="45" t="n">
        <v>511.72</v>
      </c>
      <c r="I167" s="44" t="n">
        <v>-1</v>
      </c>
      <c r="J167" s="45" t="n">
        <v>511.72</v>
      </c>
      <c r="K167" s="44" t="n">
        <v>-1</v>
      </c>
    </row>
    <row r="168">
      <c r="A168" s="43" t="n">
        <v>164</v>
      </c>
      <c r="B168" s="43" t="inlineStr">
        <is>
          <t>SUMA</t>
        </is>
      </c>
      <c r="C168" s="44" t="n">
        <v>0</v>
      </c>
      <c r="D168" s="45" t="n">
        <v>0</v>
      </c>
      <c r="E168" s="45" t="n">
        <v>0</v>
      </c>
      <c r="F168" s="45" t="n">
        <v>0</v>
      </c>
      <c r="G168" s="44" t="n">
        <v>0</v>
      </c>
      <c r="H168" s="45" t="n">
        <v>0</v>
      </c>
      <c r="I168" s="44" t="n">
        <v>0</v>
      </c>
      <c r="J168" s="45" t="n">
        <v>0</v>
      </c>
      <c r="K168" s="44" t="n">
        <v>0</v>
      </c>
    </row>
    <row r="169">
      <c r="A169" s="46" t="n"/>
      <c r="B169" s="46" t="inlineStr">
        <is>
          <t>RAZEM</t>
        </is>
      </c>
      <c r="C169" s="47" t="n"/>
      <c r="D169" s="48" t="n">
        <v>12907.09</v>
      </c>
      <c r="E169" s="48" t="n">
        <v>9166.261603401044</v>
      </c>
      <c r="F169" s="48" t="n">
        <v>3740.828396598956</v>
      </c>
      <c r="G169" s="47" t="n">
        <v>0.2898274046744042</v>
      </c>
      <c r="H169" s="48" t="n">
        <v>11330.58</v>
      </c>
      <c r="I169" s="47" t="n"/>
      <c r="J169" s="48" t="n"/>
      <c r="K169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4" customWidth="1" min="13" max="13"/>
    <col width="14" customWidth="1" min="14" max="14"/>
    <col width="22" customWidth="1" min="15" max="15"/>
    <col width="12" customWidth="1" min="16" max="16"/>
  </cols>
  <sheetData>
    <row r="1">
      <c r="A1" s="59" t="inlineStr">
        <is>
          <t>PLAN I WERYFIKACJA - LUTY 2026</t>
        </is>
      </c>
    </row>
    <row r="2">
      <c r="A2" s="35" t="inlineStr">
        <is>
          <t>CEL = Styczeń 2026 + 5% | Żółte pola = do edycji | Czerwone wiersze = brak zamówień w styczniu | Tygodnie: 02-08 | 09-15 | 16-22 | 23-28 Lut</t>
        </is>
      </c>
    </row>
    <row r="4">
      <c r="A4" s="60" t="inlineStr">
        <is>
          <t>PREMIUM GOSIA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</row>
    <row r="5">
      <c r="A5" s="36" t="inlineStr">
        <is>
          <t>Poz.</t>
        </is>
      </c>
      <c r="B5" s="36" t="inlineStr">
        <is>
          <t>Klient</t>
        </is>
      </c>
      <c r="C5" s="36" t="inlineStr">
        <is>
          <t>Rabat%</t>
        </is>
      </c>
      <c r="D5" s="36" t="inlineStr">
        <is>
          <t>Sprzedaż
Sty 26</t>
        </is>
      </c>
      <c r="E5" s="36" t="inlineStr">
        <is>
          <t>CEL Luty 26
(Sty +5%)</t>
        </is>
      </c>
      <c r="F5" s="36" t="inlineStr">
        <is>
          <t>Tydz 1
(02-08)</t>
        </is>
      </c>
      <c r="G5" s="36" t="inlineStr">
        <is>
          <t>Tydz 2
(09-15)</t>
        </is>
      </c>
      <c r="H5" s="36" t="inlineStr">
        <is>
          <t>Tydz 3
(16-22)</t>
        </is>
      </c>
      <c r="I5" s="36" t="inlineStr">
        <is>
          <t>Tydz 4
(23-28)</t>
        </is>
      </c>
      <c r="J5" s="36" t="inlineStr">
        <is>
          <t>SUMA
Realizacja</t>
        </is>
      </c>
      <c r="K5" s="36" t="inlineStr">
        <is>
          <t>Różnica
vs CEL</t>
        </is>
      </c>
      <c r="L5" s="36" t="inlineStr">
        <is>
          <t>% Real.</t>
        </is>
      </c>
      <c r="M5" s="36" t="inlineStr">
        <is>
          <t>Śr. Tyg.
Sty 26</t>
        </is>
      </c>
      <c r="N5" s="36" t="inlineStr">
        <is>
          <t>Sprzedaż
Gru 25</t>
        </is>
      </c>
      <c r="O5" s="36" t="inlineStr">
        <is>
          <t>Notatki</t>
        </is>
      </c>
      <c r="P5" s="36" t="inlineStr">
        <is>
          <t>Status</t>
        </is>
      </c>
    </row>
    <row r="6">
      <c r="A6" s="37" t="n">
        <v>1</v>
      </c>
      <c r="B6" s="37" t="inlineStr">
        <is>
          <t>Amar Beirut</t>
        </is>
      </c>
      <c r="C6" s="38" t="n">
        <v>0.3</v>
      </c>
      <c r="D6" s="39" t="n">
        <v>36225.57</v>
      </c>
      <c r="E6" s="62" t="n">
        <v>38036.85</v>
      </c>
      <c r="F6" s="62" t="n">
        <v>0</v>
      </c>
      <c r="G6" s="62" t="n">
        <v>0</v>
      </c>
      <c r="H6" s="62" t="n">
        <v>0</v>
      </c>
      <c r="I6" s="62" t="n">
        <v>0</v>
      </c>
      <c r="J6" s="39">
        <f>SUM(F6:I6)</f>
        <v/>
      </c>
      <c r="K6" s="39">
        <f>J6-E6</f>
        <v/>
      </c>
      <c r="L6" s="38">
        <f>IF(E6&gt;0,J6/E6,0)</f>
        <v/>
      </c>
      <c r="M6" s="39" t="n">
        <v>8424.549999999999</v>
      </c>
      <c r="N6" s="39" t="n">
        <v>25365.58</v>
      </c>
      <c r="O6" s="63" t="inlineStr"/>
      <c r="P6" s="63" t="inlineStr"/>
    </row>
    <row r="7">
      <c r="A7" s="40" t="n">
        <v>2</v>
      </c>
      <c r="B7" s="40" t="inlineStr">
        <is>
          <t>Lupo</t>
        </is>
      </c>
      <c r="C7" s="41" t="n">
        <v>0.21</v>
      </c>
      <c r="D7" s="42" t="n">
        <v>22608.21</v>
      </c>
      <c r="E7" s="62" t="n">
        <v>23738.62</v>
      </c>
      <c r="F7" s="62" t="n">
        <v>0</v>
      </c>
      <c r="G7" s="62" t="n">
        <v>0</v>
      </c>
      <c r="H7" s="62" t="n">
        <v>0</v>
      </c>
      <c r="I7" s="62" t="n">
        <v>0</v>
      </c>
      <c r="J7" s="42">
        <f>SUM(F7:I7)</f>
        <v/>
      </c>
      <c r="K7" s="42">
        <f>J7-E7</f>
        <v/>
      </c>
      <c r="L7" s="41">
        <f>IF(E7&gt;0,J7/E7,0)</f>
        <v/>
      </c>
      <c r="M7" s="42" t="n">
        <v>5257.72</v>
      </c>
      <c r="N7" s="42" t="n">
        <v>22488.31</v>
      </c>
      <c r="O7" s="63" t="inlineStr"/>
      <c r="P7" s="63" t="inlineStr"/>
    </row>
    <row r="8">
      <c r="A8" s="37" t="n">
        <v>3</v>
      </c>
      <c r="B8" s="37" t="inlineStr">
        <is>
          <t>Sakana Wilanów</t>
        </is>
      </c>
      <c r="C8" s="38" t="n">
        <v>0.2</v>
      </c>
      <c r="D8" s="39" t="n">
        <v>10940.75</v>
      </c>
      <c r="E8" s="62" t="n">
        <v>11487.79</v>
      </c>
      <c r="F8" s="62" t="n">
        <v>0</v>
      </c>
      <c r="G8" s="62" t="n">
        <v>0</v>
      </c>
      <c r="H8" s="62" t="n">
        <v>0</v>
      </c>
      <c r="I8" s="62" t="n">
        <v>0</v>
      </c>
      <c r="J8" s="39">
        <f>SUM(F8:I8)</f>
        <v/>
      </c>
      <c r="K8" s="39">
        <f>J8-E8</f>
        <v/>
      </c>
      <c r="L8" s="38">
        <f>IF(E8&gt;0,J8/E8,0)</f>
        <v/>
      </c>
      <c r="M8" s="39" t="n">
        <v>2544.36</v>
      </c>
      <c r="N8" s="39" t="n">
        <v>12206.6</v>
      </c>
      <c r="O8" s="63" t="inlineStr"/>
      <c r="P8" s="63" t="inlineStr"/>
    </row>
    <row r="9">
      <c r="A9" s="40" t="n">
        <v>4</v>
      </c>
      <c r="B9" s="40" t="inlineStr">
        <is>
          <t>Sakana Sushi - Burakowska P</t>
        </is>
      </c>
      <c r="C9" s="41" t="n">
        <v>0.2</v>
      </c>
      <c r="D9" s="42" t="n">
        <v>6648.54</v>
      </c>
      <c r="E9" s="62" t="n">
        <v>6980.97</v>
      </c>
      <c r="F9" s="62" t="n">
        <v>0</v>
      </c>
      <c r="G9" s="62" t="n">
        <v>0</v>
      </c>
      <c r="H9" s="62" t="n">
        <v>0</v>
      </c>
      <c r="I9" s="62" t="n">
        <v>0</v>
      </c>
      <c r="J9" s="42">
        <f>SUM(F9:I9)</f>
        <v/>
      </c>
      <c r="K9" s="42">
        <f>J9-E9</f>
        <v/>
      </c>
      <c r="L9" s="41">
        <f>IF(E9&gt;0,J9/E9,0)</f>
        <v/>
      </c>
      <c r="M9" s="42" t="n">
        <v>1546.17</v>
      </c>
      <c r="N9" s="42" t="n">
        <v>11086.17</v>
      </c>
      <c r="O9" s="63" t="inlineStr"/>
      <c r="P9" s="63" t="inlineStr"/>
    </row>
    <row r="10">
      <c r="A10" s="37" t="n">
        <v>5</v>
      </c>
      <c r="B10" s="37" t="inlineStr">
        <is>
          <t>SOUND GARDEN HOTEL</t>
        </is>
      </c>
      <c r="C10" s="38" t="n">
        <v>0.2</v>
      </c>
      <c r="D10" s="39" t="n">
        <v>5656.16</v>
      </c>
      <c r="E10" s="62" t="n">
        <v>5938.97</v>
      </c>
      <c r="F10" s="62" t="n">
        <v>0</v>
      </c>
      <c r="G10" s="62" t="n">
        <v>0</v>
      </c>
      <c r="H10" s="62" t="n">
        <v>0</v>
      </c>
      <c r="I10" s="62" t="n">
        <v>0</v>
      </c>
      <c r="J10" s="39">
        <f>SUM(F10:I10)</f>
        <v/>
      </c>
      <c r="K10" s="39">
        <f>J10-E10</f>
        <v/>
      </c>
      <c r="L10" s="38">
        <f>IF(E10&gt;0,J10/E10,0)</f>
        <v/>
      </c>
      <c r="M10" s="39" t="n">
        <v>1315.39</v>
      </c>
      <c r="N10" s="39" t="n">
        <v>13641.08</v>
      </c>
      <c r="O10" s="63" t="inlineStr"/>
      <c r="P10" s="63" t="inlineStr"/>
    </row>
    <row r="11">
      <c r="A11" s="40" t="n">
        <v>6</v>
      </c>
      <c r="B11" s="40" t="inlineStr">
        <is>
          <t>Sakana Sushi Molieria</t>
        </is>
      </c>
      <c r="C11" s="41" t="n">
        <v>0.2</v>
      </c>
      <c r="D11" s="42" t="n">
        <v>4580.3</v>
      </c>
      <c r="E11" s="62" t="n">
        <v>4809.32</v>
      </c>
      <c r="F11" s="62" t="n">
        <v>0</v>
      </c>
      <c r="G11" s="62" t="n">
        <v>0</v>
      </c>
      <c r="H11" s="62" t="n">
        <v>0</v>
      </c>
      <c r="I11" s="62" t="n">
        <v>0</v>
      </c>
      <c r="J11" s="42">
        <f>SUM(F11:I11)</f>
        <v/>
      </c>
      <c r="K11" s="42">
        <f>J11-E11</f>
        <v/>
      </c>
      <c r="L11" s="41">
        <f>IF(E11&gt;0,J11/E11,0)</f>
        <v/>
      </c>
      <c r="M11" s="42" t="n">
        <v>1065.19</v>
      </c>
      <c r="N11" s="42" t="n">
        <v>5743.48</v>
      </c>
      <c r="O11" s="63" t="inlineStr"/>
      <c r="P11" s="63" t="inlineStr"/>
    </row>
    <row r="12">
      <c r="A12" s="37" t="n">
        <v>7</v>
      </c>
      <c r="B12" s="37" t="inlineStr">
        <is>
          <t>Abruzzo</t>
        </is>
      </c>
      <c r="C12" s="38" t="n">
        <v>0.2</v>
      </c>
      <c r="D12" s="39" t="n">
        <v>4047.6</v>
      </c>
      <c r="E12" s="62" t="n">
        <v>4249.98</v>
      </c>
      <c r="F12" s="62" t="n">
        <v>0</v>
      </c>
      <c r="G12" s="62" t="n">
        <v>0</v>
      </c>
      <c r="H12" s="62" t="n">
        <v>0</v>
      </c>
      <c r="I12" s="62" t="n">
        <v>0</v>
      </c>
      <c r="J12" s="39">
        <f>SUM(F12:I12)</f>
        <v/>
      </c>
      <c r="K12" s="39">
        <f>J12-E12</f>
        <v/>
      </c>
      <c r="L12" s="38">
        <f>IF(E12&gt;0,J12/E12,0)</f>
        <v/>
      </c>
      <c r="M12" s="39" t="n">
        <v>941.3</v>
      </c>
      <c r="N12" s="39" t="n">
        <v>4950.059999999999</v>
      </c>
      <c r="O12" s="63" t="inlineStr"/>
      <c r="P12" s="63" t="inlineStr"/>
    </row>
    <row r="13">
      <c r="A13" s="43" t="n">
        <v>8</v>
      </c>
      <c r="B13" s="43" t="inlineStr">
        <is>
          <t>Belvedere</t>
        </is>
      </c>
      <c r="C13" s="44" t="n">
        <v>0.25</v>
      </c>
      <c r="D13" s="45" t="n">
        <v>0</v>
      </c>
      <c r="E13" s="45" t="n">
        <v>0</v>
      </c>
      <c r="F13" s="45" t="n">
        <v>0</v>
      </c>
      <c r="G13" s="45" t="n">
        <v>0</v>
      </c>
      <c r="H13" s="45" t="n">
        <v>0</v>
      </c>
      <c r="I13" s="45" t="n">
        <v>0</v>
      </c>
      <c r="J13" s="45">
        <f>SUM(F13:I13)</f>
        <v/>
      </c>
      <c r="K13" s="45">
        <f>J13-E13</f>
        <v/>
      </c>
      <c r="L13" s="44">
        <f>IF(E13&gt;0,J13/E13,0)</f>
        <v/>
      </c>
      <c r="M13" s="45" t="n">
        <v>0</v>
      </c>
      <c r="N13" s="45" t="n">
        <v>400.96</v>
      </c>
      <c r="O13" s="43" t="inlineStr"/>
      <c r="P13" s="43" t="inlineStr"/>
    </row>
    <row r="14">
      <c r="A14" s="43" t="n">
        <v>9</v>
      </c>
      <c r="B14" s="43" t="inlineStr">
        <is>
          <t>Grzybki-Magazyn</t>
        </is>
      </c>
      <c r="C14" s="44" t="n">
        <v>0.15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5">
        <f>SUM(F14:I14)</f>
        <v/>
      </c>
      <c r="K14" s="45">
        <f>J14-E14</f>
        <v/>
      </c>
      <c r="L14" s="44">
        <f>IF(E14&gt;0,J14/E14,0)</f>
        <v/>
      </c>
      <c r="M14" s="45" t="n">
        <v>0</v>
      </c>
      <c r="N14" s="45" t="n">
        <v>0</v>
      </c>
      <c r="O14" s="43" t="inlineStr"/>
      <c r="P14" s="43" t="inlineStr"/>
    </row>
    <row r="15">
      <c r="A15" s="43" t="n">
        <v>10</v>
      </c>
      <c r="B15" s="43" t="inlineStr">
        <is>
          <t>DOM PRACOWNIKA SŁUŻBY ZDROWIA</t>
        </is>
      </c>
      <c r="C15" s="44" t="n">
        <v>0.15</v>
      </c>
      <c r="D15" s="45" t="n">
        <v>0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5">
        <f>SUM(F15:I15)</f>
        <v/>
      </c>
      <c r="K15" s="45">
        <f>J15-E15</f>
        <v/>
      </c>
      <c r="L15" s="44">
        <f>IF(E15&gt;0,J15/E15,0)</f>
        <v/>
      </c>
      <c r="M15" s="45" t="n">
        <v>0</v>
      </c>
      <c r="N15" s="45" t="n">
        <v>34247.56</v>
      </c>
      <c r="O15" s="43" t="inlineStr"/>
      <c r="P15" s="43" t="inlineStr"/>
    </row>
    <row r="16">
      <c r="A16" s="43" t="n">
        <v>11</v>
      </c>
      <c r="B16" s="43" t="inlineStr">
        <is>
          <t>Grzybki-Malownicza Produkcja</t>
        </is>
      </c>
      <c r="C16" s="44" t="n">
        <v>0.15</v>
      </c>
      <c r="D16" s="45" t="n">
        <v>0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5">
        <f>SUM(F16:I16)</f>
        <v/>
      </c>
      <c r="K16" s="45">
        <f>J16-E16</f>
        <v/>
      </c>
      <c r="L16" s="44">
        <f>IF(E16&gt;0,J16/E16,0)</f>
        <v/>
      </c>
      <c r="M16" s="45" t="n">
        <v>0</v>
      </c>
      <c r="N16" s="45" t="n">
        <v>0</v>
      </c>
      <c r="O16" s="43" t="inlineStr"/>
      <c r="P16" s="43" t="inlineStr"/>
    </row>
    <row r="17">
      <c r="A17" s="64" t="n"/>
      <c r="B17" s="28" t="inlineStr">
        <is>
          <t>RAZEM PREMIUM GOSIA</t>
        </is>
      </c>
      <c r="C17" s="65" t="n"/>
      <c r="D17" s="66">
        <f>SUM(D6:D16)</f>
        <v/>
      </c>
      <c r="E17" s="66">
        <f>SUM(E6:E16)</f>
        <v/>
      </c>
      <c r="F17" s="66">
        <f>SUM(F6:F16)</f>
        <v/>
      </c>
      <c r="G17" s="66">
        <f>SUM(G6:G16)</f>
        <v/>
      </c>
      <c r="H17" s="66">
        <f>SUM(H6:H16)</f>
        <v/>
      </c>
      <c r="I17" s="66">
        <f>SUM(I6:I16)</f>
        <v/>
      </c>
      <c r="J17" s="66">
        <f>SUM(J6:J16)</f>
        <v/>
      </c>
      <c r="K17" s="66">
        <f>SUM(K6:K16)</f>
        <v/>
      </c>
      <c r="L17" s="67">
        <f>IF(E17&gt;0,J17/E17,0)</f>
        <v/>
      </c>
      <c r="M17" s="68" t="n"/>
      <c r="N17" s="66">
        <f>SUM(N6:N16)</f>
        <v/>
      </c>
      <c r="O17" s="64" t="n"/>
      <c r="P17" s="64" t="n"/>
    </row>
    <row r="19">
      <c r="A19" s="69" t="inlineStr">
        <is>
          <t>PREMIUM MAGDA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</row>
    <row r="20">
      <c r="A20" s="50" t="inlineStr">
        <is>
          <t>Poz.</t>
        </is>
      </c>
      <c r="B20" s="50" t="inlineStr">
        <is>
          <t>Klient</t>
        </is>
      </c>
      <c r="C20" s="50" t="inlineStr">
        <is>
          <t>Rabat%</t>
        </is>
      </c>
      <c r="D20" s="50" t="inlineStr">
        <is>
          <t>Sprzedaż
Sty 26</t>
        </is>
      </c>
      <c r="E20" s="50" t="inlineStr">
        <is>
          <t>CEL Luty 26
(Sty +5%)</t>
        </is>
      </c>
      <c r="F20" s="50" t="inlineStr">
        <is>
          <t>Tydz 1
(02-08)</t>
        </is>
      </c>
      <c r="G20" s="50" t="inlineStr">
        <is>
          <t>Tydz 2
(09-15)</t>
        </is>
      </c>
      <c r="H20" s="50" t="inlineStr">
        <is>
          <t>Tydz 3
(16-22)</t>
        </is>
      </c>
      <c r="I20" s="50" t="inlineStr">
        <is>
          <t>Tydz 4
(23-28)</t>
        </is>
      </c>
      <c r="J20" s="50" t="inlineStr">
        <is>
          <t>SUMA
Realizacja</t>
        </is>
      </c>
      <c r="K20" s="50" t="inlineStr">
        <is>
          <t>Różnica
vs CEL</t>
        </is>
      </c>
      <c r="L20" s="50" t="inlineStr">
        <is>
          <t>% Real.</t>
        </is>
      </c>
      <c r="M20" s="50" t="inlineStr">
        <is>
          <t>Śr. Tyg.
Sty 26</t>
        </is>
      </c>
      <c r="N20" s="50" t="inlineStr">
        <is>
          <t>Sprzedaż
Gru 25</t>
        </is>
      </c>
      <c r="O20" s="50" t="inlineStr">
        <is>
          <t>Notatki</t>
        </is>
      </c>
      <c r="P20" s="50" t="inlineStr">
        <is>
          <t>Status</t>
        </is>
      </c>
    </row>
    <row r="21">
      <c r="A21" s="37" t="n">
        <v>1</v>
      </c>
      <c r="B21" s="37" t="inlineStr">
        <is>
          <t>Sushi Soul</t>
        </is>
      </c>
      <c r="C21" s="38" t="n">
        <v>0.2</v>
      </c>
      <c r="D21" s="39" t="n">
        <v>8994.57</v>
      </c>
      <c r="E21" s="62" t="n">
        <v>9444.299999999999</v>
      </c>
      <c r="F21" s="62" t="n">
        <v>0</v>
      </c>
      <c r="G21" s="62" t="n">
        <v>0</v>
      </c>
      <c r="H21" s="62" t="n">
        <v>0</v>
      </c>
      <c r="I21" s="62" t="n">
        <v>0</v>
      </c>
      <c r="J21" s="39">
        <f>SUM(F21:I21)</f>
        <v/>
      </c>
      <c r="K21" s="39">
        <f>J21-E21</f>
        <v/>
      </c>
      <c r="L21" s="38">
        <f>IF(E21&gt;0,J21/E21,0)</f>
        <v/>
      </c>
      <c r="M21" s="39" t="n">
        <v>2091.76</v>
      </c>
      <c r="N21" s="39" t="n">
        <v>11939.04</v>
      </c>
      <c r="O21" s="63" t="inlineStr"/>
      <c r="P21" s="63" t="inlineStr"/>
    </row>
    <row r="22">
      <c r="A22" s="40" t="n">
        <v>2</v>
      </c>
      <c r="B22" s="40" t="inlineStr">
        <is>
          <t>Solivoda - Szkoła Amerykańska</t>
        </is>
      </c>
      <c r="C22" s="41" t="n">
        <v>0.11</v>
      </c>
      <c r="D22" s="42" t="n">
        <v>8877.85</v>
      </c>
      <c r="E22" s="62" t="n">
        <v>9321.74</v>
      </c>
      <c r="F22" s="62" t="n">
        <v>0</v>
      </c>
      <c r="G22" s="62" t="n">
        <v>0</v>
      </c>
      <c r="H22" s="62" t="n">
        <v>0</v>
      </c>
      <c r="I22" s="62" t="n">
        <v>0</v>
      </c>
      <c r="J22" s="42">
        <f>SUM(F22:I22)</f>
        <v/>
      </c>
      <c r="K22" s="42">
        <f>J22-E22</f>
        <v/>
      </c>
      <c r="L22" s="41">
        <f>IF(E22&gt;0,J22/E22,0)</f>
        <v/>
      </c>
      <c r="M22" s="42" t="n">
        <v>2064.62</v>
      </c>
      <c r="N22" s="42" t="n">
        <v>4038.69</v>
      </c>
      <c r="O22" s="63" t="inlineStr"/>
      <c r="P22" s="63" t="inlineStr"/>
    </row>
    <row r="23">
      <c r="A23" s="37" t="n">
        <v>3</v>
      </c>
      <c r="B23" s="37" t="inlineStr">
        <is>
          <t>Culture Cafe - Wola</t>
        </is>
      </c>
      <c r="C23" s="38" t="n">
        <v>0.2</v>
      </c>
      <c r="D23" s="39" t="n">
        <v>8474.23</v>
      </c>
      <c r="E23" s="62" t="n">
        <v>8897.940000000001</v>
      </c>
      <c r="F23" s="62" t="n">
        <v>0</v>
      </c>
      <c r="G23" s="62" t="n">
        <v>0</v>
      </c>
      <c r="H23" s="62" t="n">
        <v>0</v>
      </c>
      <c r="I23" s="62" t="n">
        <v>0</v>
      </c>
      <c r="J23" s="39">
        <f>SUM(F23:I23)</f>
        <v/>
      </c>
      <c r="K23" s="39">
        <f>J23-E23</f>
        <v/>
      </c>
      <c r="L23" s="38">
        <f>IF(E23&gt;0,J23/E23,0)</f>
        <v/>
      </c>
      <c r="M23" s="39" t="n">
        <v>1970.75</v>
      </c>
      <c r="N23" s="39" t="n">
        <v>10446.66</v>
      </c>
      <c r="O23" s="63" t="inlineStr"/>
      <c r="P23" s="63" t="inlineStr"/>
    </row>
    <row r="24">
      <c r="A24" s="40" t="n">
        <v>4</v>
      </c>
      <c r="B24" s="40" t="inlineStr">
        <is>
          <t>Solivoda Konstancin PSE</t>
        </is>
      </c>
      <c r="C24" s="41" t="n">
        <v>0.11</v>
      </c>
      <c r="D24" s="42" t="n">
        <v>7393.42</v>
      </c>
      <c r="E24" s="62" t="n">
        <v>7763.09</v>
      </c>
      <c r="F24" s="62" t="n">
        <v>0</v>
      </c>
      <c r="G24" s="62" t="n">
        <v>0</v>
      </c>
      <c r="H24" s="62" t="n">
        <v>0</v>
      </c>
      <c r="I24" s="62" t="n">
        <v>0</v>
      </c>
      <c r="J24" s="42">
        <f>SUM(F24:I24)</f>
        <v/>
      </c>
      <c r="K24" s="42">
        <f>J24-E24</f>
        <v/>
      </c>
      <c r="L24" s="41">
        <f>IF(E24&gt;0,J24/E24,0)</f>
        <v/>
      </c>
      <c r="M24" s="42" t="n">
        <v>1719.4</v>
      </c>
      <c r="N24" s="42" t="n">
        <v>12788.3</v>
      </c>
      <c r="O24" s="63" t="inlineStr"/>
      <c r="P24" s="63" t="inlineStr"/>
    </row>
    <row r="25">
      <c r="A25" s="37" t="n">
        <v>5</v>
      </c>
      <c r="B25" s="37" t="inlineStr">
        <is>
          <t>GAN BEI</t>
        </is>
      </c>
      <c r="C25" s="38" t="n">
        <v>0.15</v>
      </c>
      <c r="D25" s="39" t="n">
        <v>7129.46</v>
      </c>
      <c r="E25" s="62" t="n">
        <v>7485.93</v>
      </c>
      <c r="F25" s="62" t="n">
        <v>0</v>
      </c>
      <c r="G25" s="62" t="n">
        <v>0</v>
      </c>
      <c r="H25" s="62" t="n">
        <v>0</v>
      </c>
      <c r="I25" s="62" t="n">
        <v>0</v>
      </c>
      <c r="J25" s="39">
        <f>SUM(F25:I25)</f>
        <v/>
      </c>
      <c r="K25" s="39">
        <f>J25-E25</f>
        <v/>
      </c>
      <c r="L25" s="38">
        <f>IF(E25&gt;0,J25/E25,0)</f>
        <v/>
      </c>
      <c r="M25" s="39" t="n">
        <v>1658.01</v>
      </c>
      <c r="N25" s="39" t="n">
        <v>9100.17</v>
      </c>
      <c r="O25" s="63" t="inlineStr"/>
      <c r="P25" s="63" t="inlineStr"/>
    </row>
    <row r="26">
      <c r="A26" s="40" t="n">
        <v>6</v>
      </c>
      <c r="B26" s="40" t="inlineStr">
        <is>
          <t>Lunch - Kuba 2</t>
        </is>
      </c>
      <c r="C26" s="41" t="n">
        <v>0.15</v>
      </c>
      <c r="D26" s="42" t="n">
        <v>5273.9</v>
      </c>
      <c r="E26" s="62" t="n">
        <v>5537.6</v>
      </c>
      <c r="F26" s="62" t="n">
        <v>0</v>
      </c>
      <c r="G26" s="62" t="n">
        <v>0</v>
      </c>
      <c r="H26" s="62" t="n">
        <v>0</v>
      </c>
      <c r="I26" s="62" t="n">
        <v>0</v>
      </c>
      <c r="J26" s="42">
        <f>SUM(F26:I26)</f>
        <v/>
      </c>
      <c r="K26" s="42">
        <f>J26-E26</f>
        <v/>
      </c>
      <c r="L26" s="41">
        <f>IF(E26&gt;0,J26/E26,0)</f>
        <v/>
      </c>
      <c r="M26" s="42" t="n">
        <v>1226.49</v>
      </c>
      <c r="N26" s="42" t="n">
        <v>3333.02</v>
      </c>
      <c r="O26" s="63" t="inlineStr"/>
      <c r="P26" s="63" t="inlineStr"/>
    </row>
    <row r="27">
      <c r="A27" s="37" t="n">
        <v>7</v>
      </c>
      <c r="B27" s="37" t="inlineStr">
        <is>
          <t>Seafood Station</t>
        </is>
      </c>
      <c r="C27" s="38" t="n">
        <v>0.19</v>
      </c>
      <c r="D27" s="39" t="n">
        <v>5209.83</v>
      </c>
      <c r="E27" s="62" t="n">
        <v>5470.32</v>
      </c>
      <c r="F27" s="62" t="n">
        <v>0</v>
      </c>
      <c r="G27" s="62" t="n">
        <v>0</v>
      </c>
      <c r="H27" s="62" t="n">
        <v>0</v>
      </c>
      <c r="I27" s="62" t="n">
        <v>0</v>
      </c>
      <c r="J27" s="39">
        <f>SUM(F27:I27)</f>
        <v/>
      </c>
      <c r="K27" s="39">
        <f>J27-E27</f>
        <v/>
      </c>
      <c r="L27" s="38">
        <f>IF(E27&gt;0,J27/E27,0)</f>
        <v/>
      </c>
      <c r="M27" s="39" t="n">
        <v>1211.59</v>
      </c>
      <c r="N27" s="39" t="n">
        <v>7431.030000000001</v>
      </c>
      <c r="O27" s="63" t="inlineStr"/>
      <c r="P27" s="63" t="inlineStr"/>
    </row>
    <row r="28">
      <c r="A28" s="40" t="n">
        <v>8</v>
      </c>
      <c r="B28" s="40" t="inlineStr">
        <is>
          <t>Culture Cafe</t>
        </is>
      </c>
      <c r="C28" s="41" t="n">
        <v>0.2</v>
      </c>
      <c r="D28" s="42" t="n">
        <v>5067.14</v>
      </c>
      <c r="E28" s="62" t="n">
        <v>5320.5</v>
      </c>
      <c r="F28" s="62" t="n">
        <v>0</v>
      </c>
      <c r="G28" s="62" t="n">
        <v>0</v>
      </c>
      <c r="H28" s="62" t="n">
        <v>0</v>
      </c>
      <c r="I28" s="62" t="n">
        <v>0</v>
      </c>
      <c r="J28" s="42">
        <f>SUM(F28:I28)</f>
        <v/>
      </c>
      <c r="K28" s="42">
        <f>J28-E28</f>
        <v/>
      </c>
      <c r="L28" s="41">
        <f>IF(E28&gt;0,J28/E28,0)</f>
        <v/>
      </c>
      <c r="M28" s="42" t="n">
        <v>1178.4</v>
      </c>
      <c r="N28" s="42" t="n">
        <v>3760.64</v>
      </c>
      <c r="O28" s="63" t="inlineStr"/>
      <c r="P28" s="63" t="inlineStr"/>
    </row>
    <row r="29">
      <c r="A29" s="37" t="n">
        <v>9</v>
      </c>
      <c r="B29" s="37" t="inlineStr">
        <is>
          <t>GAN BEI CHMIELNA</t>
        </is>
      </c>
      <c r="C29" s="38" t="n">
        <v>0.15</v>
      </c>
      <c r="D29" s="39" t="n">
        <v>5025.47</v>
      </c>
      <c r="E29" s="62" t="n">
        <v>5276.74</v>
      </c>
      <c r="F29" s="62" t="n">
        <v>0</v>
      </c>
      <c r="G29" s="62" t="n">
        <v>0</v>
      </c>
      <c r="H29" s="62" t="n">
        <v>0</v>
      </c>
      <c r="I29" s="62" t="n">
        <v>0</v>
      </c>
      <c r="J29" s="39">
        <f>SUM(F29:I29)</f>
        <v/>
      </c>
      <c r="K29" s="39">
        <f>J29-E29</f>
        <v/>
      </c>
      <c r="L29" s="38">
        <f>IF(E29&gt;0,J29/E29,0)</f>
        <v/>
      </c>
      <c r="M29" s="39" t="n">
        <v>1168.71</v>
      </c>
      <c r="N29" s="39" t="n">
        <v>7314.76</v>
      </c>
      <c r="O29" s="63" t="inlineStr"/>
      <c r="P29" s="63" t="inlineStr"/>
    </row>
    <row r="30">
      <c r="A30" s="40" t="n">
        <v>10</v>
      </c>
      <c r="B30" s="40" t="inlineStr">
        <is>
          <t>Street Daszyńskiego</t>
        </is>
      </c>
      <c r="C30" s="41" t="n">
        <v>0.15</v>
      </c>
      <c r="D30" s="42" t="n">
        <v>5019.55</v>
      </c>
      <c r="E30" s="62" t="n">
        <v>5270.53</v>
      </c>
      <c r="F30" s="62" t="n">
        <v>0</v>
      </c>
      <c r="G30" s="62" t="n">
        <v>0</v>
      </c>
      <c r="H30" s="62" t="n">
        <v>0</v>
      </c>
      <c r="I30" s="62" t="n">
        <v>0</v>
      </c>
      <c r="J30" s="42">
        <f>SUM(F30:I30)</f>
        <v/>
      </c>
      <c r="K30" s="42">
        <f>J30-E30</f>
        <v/>
      </c>
      <c r="L30" s="41">
        <f>IF(E30&gt;0,J30/E30,0)</f>
        <v/>
      </c>
      <c r="M30" s="42" t="n">
        <v>1167.34</v>
      </c>
      <c r="N30" s="42" t="n">
        <v>5676.86</v>
      </c>
      <c r="O30" s="63" t="inlineStr"/>
      <c r="P30" s="63" t="inlineStr"/>
    </row>
    <row r="31">
      <c r="A31" s="37" t="n">
        <v>11</v>
      </c>
      <c r="B31" s="37" t="inlineStr">
        <is>
          <t>Voda</t>
        </is>
      </c>
      <c r="C31" s="38" t="n">
        <v>0.2</v>
      </c>
      <c r="D31" s="39" t="n">
        <v>4985.64</v>
      </c>
      <c r="E31" s="62" t="n">
        <v>5234.92</v>
      </c>
      <c r="F31" s="62" t="n">
        <v>0</v>
      </c>
      <c r="G31" s="62" t="n">
        <v>0</v>
      </c>
      <c r="H31" s="62" t="n">
        <v>0</v>
      </c>
      <c r="I31" s="62" t="n">
        <v>0</v>
      </c>
      <c r="J31" s="39">
        <f>SUM(F31:I31)</f>
        <v/>
      </c>
      <c r="K31" s="39">
        <f>J31-E31</f>
        <v/>
      </c>
      <c r="L31" s="38">
        <f>IF(E31&gt;0,J31/E31,0)</f>
        <v/>
      </c>
      <c r="M31" s="39" t="n">
        <v>1159.45</v>
      </c>
      <c r="N31" s="39" t="n">
        <v>5564.42</v>
      </c>
      <c r="O31" s="63" t="inlineStr"/>
      <c r="P31" s="63" t="inlineStr"/>
    </row>
    <row r="32">
      <c r="A32" s="40" t="n">
        <v>12</v>
      </c>
      <c r="B32" s="40" t="inlineStr">
        <is>
          <t>SEAGULL</t>
        </is>
      </c>
      <c r="C32" s="41" t="n">
        <v>0.2</v>
      </c>
      <c r="D32" s="42" t="n">
        <v>4899.53</v>
      </c>
      <c r="E32" s="62" t="n">
        <v>5144.51</v>
      </c>
      <c r="F32" s="62" t="n">
        <v>0</v>
      </c>
      <c r="G32" s="62" t="n">
        <v>0</v>
      </c>
      <c r="H32" s="62" t="n">
        <v>0</v>
      </c>
      <c r="I32" s="62" t="n">
        <v>0</v>
      </c>
      <c r="J32" s="42">
        <f>SUM(F32:I32)</f>
        <v/>
      </c>
      <c r="K32" s="42">
        <f>J32-E32</f>
        <v/>
      </c>
      <c r="L32" s="41">
        <f>IF(E32&gt;0,J32/E32,0)</f>
        <v/>
      </c>
      <c r="M32" s="42" t="n">
        <v>1139.43</v>
      </c>
      <c r="N32" s="42" t="n">
        <v>6257.34</v>
      </c>
      <c r="O32" s="63" t="inlineStr"/>
      <c r="P32" s="63" t="inlineStr"/>
    </row>
    <row r="33">
      <c r="A33" s="37" t="n">
        <v>13</v>
      </c>
      <c r="B33" s="37" t="inlineStr">
        <is>
          <t>KUMPLE</t>
        </is>
      </c>
      <c r="C33" s="38" t="n">
        <v>0.18</v>
      </c>
      <c r="D33" s="39" t="n">
        <v>4741.2</v>
      </c>
      <c r="E33" s="62" t="n">
        <v>4978.26</v>
      </c>
      <c r="F33" s="62" t="n">
        <v>0</v>
      </c>
      <c r="G33" s="62" t="n">
        <v>0</v>
      </c>
      <c r="H33" s="62" t="n">
        <v>0</v>
      </c>
      <c r="I33" s="62" t="n">
        <v>0</v>
      </c>
      <c r="J33" s="39">
        <f>SUM(F33:I33)</f>
        <v/>
      </c>
      <c r="K33" s="39">
        <f>J33-E33</f>
        <v/>
      </c>
      <c r="L33" s="38">
        <f>IF(E33&gt;0,J33/E33,0)</f>
        <v/>
      </c>
      <c r="M33" s="39" t="n">
        <v>1102.6</v>
      </c>
      <c r="N33" s="39" t="n">
        <v>6625.66</v>
      </c>
      <c r="O33" s="63" t="inlineStr"/>
      <c r="P33" s="63" t="inlineStr"/>
    </row>
    <row r="34">
      <c r="A34" s="40" t="n">
        <v>14</v>
      </c>
      <c r="B34" s="40" t="inlineStr">
        <is>
          <t>Wozownia</t>
        </is>
      </c>
      <c r="C34" s="41" t="n">
        <v>0.18</v>
      </c>
      <c r="D34" s="42" t="n">
        <v>4489.02</v>
      </c>
      <c r="E34" s="62" t="n">
        <v>4713.47</v>
      </c>
      <c r="F34" s="62" t="n">
        <v>0</v>
      </c>
      <c r="G34" s="62" t="n">
        <v>0</v>
      </c>
      <c r="H34" s="62" t="n">
        <v>0</v>
      </c>
      <c r="I34" s="62" t="n">
        <v>0</v>
      </c>
      <c r="J34" s="42">
        <f>SUM(F34:I34)</f>
        <v/>
      </c>
      <c r="K34" s="42">
        <f>J34-E34</f>
        <v/>
      </c>
      <c r="L34" s="41">
        <f>IF(E34&gt;0,J34/E34,0)</f>
        <v/>
      </c>
      <c r="M34" s="42" t="n">
        <v>1043.96</v>
      </c>
      <c r="N34" s="42" t="n">
        <v>4936.719999999999</v>
      </c>
      <c r="O34" s="63" t="inlineStr"/>
      <c r="P34" s="63" t="inlineStr"/>
    </row>
    <row r="35">
      <c r="A35" s="37" t="n">
        <v>15</v>
      </c>
      <c r="B35" s="37" t="inlineStr">
        <is>
          <t>Pałac Rozalin</t>
        </is>
      </c>
      <c r="C35" s="38" t="n">
        <v>0.15</v>
      </c>
      <c r="D35" s="39" t="n">
        <v>4040.9</v>
      </c>
      <c r="E35" s="62" t="n">
        <v>4242.95</v>
      </c>
      <c r="F35" s="62" t="n">
        <v>0</v>
      </c>
      <c r="G35" s="62" t="n">
        <v>0</v>
      </c>
      <c r="H35" s="62" t="n">
        <v>0</v>
      </c>
      <c r="I35" s="62" t="n">
        <v>0</v>
      </c>
      <c r="J35" s="39">
        <f>SUM(F35:I35)</f>
        <v/>
      </c>
      <c r="K35" s="39">
        <f>J35-E35</f>
        <v/>
      </c>
      <c r="L35" s="38">
        <f>IF(E35&gt;0,J35/E35,0)</f>
        <v/>
      </c>
      <c r="M35" s="39" t="n">
        <v>939.74</v>
      </c>
      <c r="N35" s="39" t="n">
        <v>2894.7</v>
      </c>
      <c r="O35" s="63" t="inlineStr"/>
      <c r="P35" s="63" t="inlineStr"/>
    </row>
    <row r="36">
      <c r="A36" s="40" t="n">
        <v>16</v>
      </c>
      <c r="B36" s="40" t="inlineStr">
        <is>
          <t>Camastra</t>
        </is>
      </c>
      <c r="C36" s="41" t="n">
        <v>0.15</v>
      </c>
      <c r="D36" s="42" t="n">
        <v>4029.92</v>
      </c>
      <c r="E36" s="62" t="n">
        <v>4231.42</v>
      </c>
      <c r="F36" s="62" t="n">
        <v>0</v>
      </c>
      <c r="G36" s="62" t="n">
        <v>0</v>
      </c>
      <c r="H36" s="62" t="n">
        <v>0</v>
      </c>
      <c r="I36" s="62" t="n">
        <v>0</v>
      </c>
      <c r="J36" s="42">
        <f>SUM(F36:I36)</f>
        <v/>
      </c>
      <c r="K36" s="42">
        <f>J36-E36</f>
        <v/>
      </c>
      <c r="L36" s="41">
        <f>IF(E36&gt;0,J36/E36,0)</f>
        <v/>
      </c>
      <c r="M36" s="42" t="n">
        <v>937.1900000000001</v>
      </c>
      <c r="N36" s="42" t="n">
        <v>0</v>
      </c>
      <c r="O36" s="63" t="inlineStr"/>
      <c r="P36" s="63" t="inlineStr"/>
    </row>
    <row r="37">
      <c r="A37" s="37" t="n">
        <v>17</v>
      </c>
      <c r="B37" s="37" t="inlineStr">
        <is>
          <t>SZPITAL OTWOCK</t>
        </is>
      </c>
      <c r="C37" s="38" t="n">
        <v>0.2</v>
      </c>
      <c r="D37" s="39" t="n">
        <v>3845.61</v>
      </c>
      <c r="E37" s="62" t="n">
        <v>4037.89</v>
      </c>
      <c r="F37" s="62" t="n">
        <v>0</v>
      </c>
      <c r="G37" s="62" t="n">
        <v>0</v>
      </c>
      <c r="H37" s="62" t="n">
        <v>0</v>
      </c>
      <c r="I37" s="62" t="n">
        <v>0</v>
      </c>
      <c r="J37" s="39">
        <f>SUM(F37:I37)</f>
        <v/>
      </c>
      <c r="K37" s="39">
        <f>J37-E37</f>
        <v/>
      </c>
      <c r="L37" s="38">
        <f>IF(E37&gt;0,J37/E37,0)</f>
        <v/>
      </c>
      <c r="M37" s="39" t="n">
        <v>894.33</v>
      </c>
      <c r="N37" s="39" t="n">
        <v>4974.88</v>
      </c>
      <c r="O37" s="63" t="inlineStr"/>
      <c r="P37" s="63" t="inlineStr"/>
    </row>
    <row r="38">
      <c r="A38" s="40" t="n">
        <v>18</v>
      </c>
      <c r="B38" s="40" t="inlineStr">
        <is>
          <t xml:space="preserve">SZPITAL NA MADALIŃSKIEGO  </t>
        </is>
      </c>
      <c r="C38" s="41" t="n">
        <v>0.2</v>
      </c>
      <c r="D38" s="42" t="n">
        <v>3776.5</v>
      </c>
      <c r="E38" s="62" t="n">
        <v>3965.33</v>
      </c>
      <c r="F38" s="62" t="n">
        <v>0</v>
      </c>
      <c r="G38" s="62" t="n">
        <v>0</v>
      </c>
      <c r="H38" s="62" t="n">
        <v>0</v>
      </c>
      <c r="I38" s="62" t="n">
        <v>0</v>
      </c>
      <c r="J38" s="42">
        <f>SUM(F38:I38)</f>
        <v/>
      </c>
      <c r="K38" s="42">
        <f>J38-E38</f>
        <v/>
      </c>
      <c r="L38" s="41">
        <f>IF(E38&gt;0,J38/E38,0)</f>
        <v/>
      </c>
      <c r="M38" s="42" t="n">
        <v>878.26</v>
      </c>
      <c r="N38" s="42" t="n">
        <v>4515.07</v>
      </c>
      <c r="O38" s="63" t="inlineStr"/>
      <c r="P38" s="63" t="inlineStr"/>
    </row>
    <row r="39">
      <c r="A39" s="37" t="n">
        <v>19</v>
      </c>
      <c r="B39" s="37" t="inlineStr">
        <is>
          <t>Kontakt Wine</t>
        </is>
      </c>
      <c r="C39" s="38" t="n">
        <v>0.15</v>
      </c>
      <c r="D39" s="39" t="n">
        <v>3505.92</v>
      </c>
      <c r="E39" s="62" t="n">
        <v>3681.22</v>
      </c>
      <c r="F39" s="62" t="n">
        <v>0</v>
      </c>
      <c r="G39" s="62" t="n">
        <v>0</v>
      </c>
      <c r="H39" s="62" t="n">
        <v>0</v>
      </c>
      <c r="I39" s="62" t="n">
        <v>0</v>
      </c>
      <c r="J39" s="39">
        <f>SUM(F39:I39)</f>
        <v/>
      </c>
      <c r="K39" s="39">
        <f>J39-E39</f>
        <v/>
      </c>
      <c r="L39" s="38">
        <f>IF(E39&gt;0,J39/E39,0)</f>
        <v/>
      </c>
      <c r="M39" s="39" t="n">
        <v>815.33</v>
      </c>
      <c r="N39" s="39" t="n">
        <v>5892.27</v>
      </c>
      <c r="O39" s="63" t="inlineStr"/>
      <c r="P39" s="63" t="inlineStr"/>
    </row>
    <row r="40">
      <c r="A40" s="40" t="n">
        <v>20</v>
      </c>
      <c r="B40" s="40" t="inlineStr">
        <is>
          <t>Restauracja Nolita</t>
        </is>
      </c>
      <c r="C40" s="41" t="n">
        <v>0.15</v>
      </c>
      <c r="D40" s="42" t="n">
        <v>3081.9</v>
      </c>
      <c r="E40" s="62" t="n">
        <v>3236</v>
      </c>
      <c r="F40" s="62" t="n">
        <v>0</v>
      </c>
      <c r="G40" s="62" t="n">
        <v>0</v>
      </c>
      <c r="H40" s="62" t="n">
        <v>0</v>
      </c>
      <c r="I40" s="62" t="n">
        <v>0</v>
      </c>
      <c r="J40" s="42">
        <f>SUM(F40:I40)</f>
        <v/>
      </c>
      <c r="K40" s="42">
        <f>J40-E40</f>
        <v/>
      </c>
      <c r="L40" s="41">
        <f>IF(E40&gt;0,J40/E40,0)</f>
        <v/>
      </c>
      <c r="M40" s="42" t="n">
        <v>716.72</v>
      </c>
      <c r="N40" s="42" t="n">
        <v>3924.09</v>
      </c>
      <c r="O40" s="63" t="inlineStr"/>
      <c r="P40" s="63" t="inlineStr"/>
    </row>
    <row r="41">
      <c r="A41" s="37" t="n">
        <v>21</v>
      </c>
      <c r="B41" s="37" t="inlineStr">
        <is>
          <t>Grupa Cateringowa</t>
        </is>
      </c>
      <c r="C41" s="38" t="n">
        <v>0.2</v>
      </c>
      <c r="D41" s="39" t="n">
        <v>2624.83</v>
      </c>
      <c r="E41" s="62" t="n">
        <v>2756.07</v>
      </c>
      <c r="F41" s="62" t="n">
        <v>0</v>
      </c>
      <c r="G41" s="62" t="n">
        <v>0</v>
      </c>
      <c r="H41" s="62" t="n">
        <v>0</v>
      </c>
      <c r="I41" s="62" t="n">
        <v>0</v>
      </c>
      <c r="J41" s="39">
        <f>SUM(F41:I41)</f>
        <v/>
      </c>
      <c r="K41" s="39">
        <f>J41-E41</f>
        <v/>
      </c>
      <c r="L41" s="38">
        <f>IF(E41&gt;0,J41/E41,0)</f>
        <v/>
      </c>
      <c r="M41" s="39" t="n">
        <v>610.4299999999999</v>
      </c>
      <c r="N41" s="39" t="n">
        <v>6883.69</v>
      </c>
      <c r="O41" s="63" t="inlineStr"/>
      <c r="P41" s="63" t="inlineStr"/>
    </row>
    <row r="42">
      <c r="A42" s="40" t="n">
        <v>22</v>
      </c>
      <c r="B42" s="40" t="inlineStr">
        <is>
          <t>ARCHE HOTEL PUŁAWSKA</t>
        </is>
      </c>
      <c r="C42" s="41" t="n">
        <v>0.15</v>
      </c>
      <c r="D42" s="42" t="n">
        <v>2578.53</v>
      </c>
      <c r="E42" s="62" t="n">
        <v>2707.46</v>
      </c>
      <c r="F42" s="62" t="n">
        <v>0</v>
      </c>
      <c r="G42" s="62" t="n">
        <v>0</v>
      </c>
      <c r="H42" s="62" t="n">
        <v>0</v>
      </c>
      <c r="I42" s="62" t="n">
        <v>0</v>
      </c>
      <c r="J42" s="42">
        <f>SUM(F42:I42)</f>
        <v/>
      </c>
      <c r="K42" s="42">
        <f>J42-E42</f>
        <v/>
      </c>
      <c r="L42" s="41">
        <f>IF(E42&gt;0,J42/E42,0)</f>
        <v/>
      </c>
      <c r="M42" s="42" t="n">
        <v>599.66</v>
      </c>
      <c r="N42" s="42" t="n">
        <v>5992.73</v>
      </c>
      <c r="O42" s="63" t="inlineStr"/>
      <c r="P42" s="63" t="inlineStr"/>
    </row>
    <row r="43">
      <c r="A43" s="37" t="n">
        <v>23</v>
      </c>
      <c r="B43" s="37" t="inlineStr">
        <is>
          <t>Zoli Pizzeria</t>
        </is>
      </c>
      <c r="C43" s="38" t="n">
        <v>0.1</v>
      </c>
      <c r="D43" s="39" t="n">
        <v>2363.48</v>
      </c>
      <c r="E43" s="62" t="n">
        <v>2481.65</v>
      </c>
      <c r="F43" s="62" t="n">
        <v>0</v>
      </c>
      <c r="G43" s="62" t="n">
        <v>0</v>
      </c>
      <c r="H43" s="62" t="n">
        <v>0</v>
      </c>
      <c r="I43" s="62" t="n">
        <v>0</v>
      </c>
      <c r="J43" s="39">
        <f>SUM(F43:I43)</f>
        <v/>
      </c>
      <c r="K43" s="39">
        <f>J43-E43</f>
        <v/>
      </c>
      <c r="L43" s="38">
        <f>IF(E43&gt;0,J43/E43,0)</f>
        <v/>
      </c>
      <c r="M43" s="39" t="n">
        <v>549.65</v>
      </c>
      <c r="N43" s="39" t="n">
        <v>5247.17</v>
      </c>
      <c r="O43" s="63" t="inlineStr"/>
      <c r="P43" s="63" t="inlineStr"/>
    </row>
    <row r="44">
      <c r="A44" s="40" t="n">
        <v>24</v>
      </c>
      <c r="B44" s="40" t="inlineStr">
        <is>
          <t>PASTA FINIESTRA</t>
        </is>
      </c>
      <c r="C44" s="41" t="n">
        <v>0.3</v>
      </c>
      <c r="D44" s="42" t="n">
        <v>2219.13</v>
      </c>
      <c r="E44" s="62" t="n">
        <v>2330.09</v>
      </c>
      <c r="F44" s="62" t="n">
        <v>0</v>
      </c>
      <c r="G44" s="62" t="n">
        <v>0</v>
      </c>
      <c r="H44" s="62" t="n">
        <v>0</v>
      </c>
      <c r="I44" s="62" t="n">
        <v>0</v>
      </c>
      <c r="J44" s="42">
        <f>SUM(F44:I44)</f>
        <v/>
      </c>
      <c r="K44" s="42">
        <f>J44-E44</f>
        <v/>
      </c>
      <c r="L44" s="41">
        <f>IF(E44&gt;0,J44/E44,0)</f>
        <v/>
      </c>
      <c r="M44" s="42" t="n">
        <v>516.08</v>
      </c>
      <c r="N44" s="42" t="n">
        <v>2237.18</v>
      </c>
      <c r="O44" s="63" t="inlineStr"/>
      <c r="P44" s="63" t="inlineStr"/>
    </row>
    <row r="45">
      <c r="A45" s="37" t="n">
        <v>25</v>
      </c>
      <c r="B45" s="37" t="inlineStr">
        <is>
          <t>Street Polska 2 KASPRZAKA</t>
        </is>
      </c>
      <c r="C45" s="38" t="n">
        <v>0.2</v>
      </c>
      <c r="D45" s="39" t="n">
        <v>2173.43</v>
      </c>
      <c r="E45" s="62" t="n">
        <v>2282.1</v>
      </c>
      <c r="F45" s="62" t="n">
        <v>0</v>
      </c>
      <c r="G45" s="62" t="n">
        <v>0</v>
      </c>
      <c r="H45" s="62" t="n">
        <v>0</v>
      </c>
      <c r="I45" s="62" t="n">
        <v>0</v>
      </c>
      <c r="J45" s="39">
        <f>SUM(F45:I45)</f>
        <v/>
      </c>
      <c r="K45" s="39">
        <f>J45-E45</f>
        <v/>
      </c>
      <c r="L45" s="38">
        <f>IF(E45&gt;0,J45/E45,0)</f>
        <v/>
      </c>
      <c r="M45" s="39" t="n">
        <v>505.45</v>
      </c>
      <c r="N45" s="39" t="n">
        <v>8145.52</v>
      </c>
      <c r="O45" s="63" t="inlineStr"/>
      <c r="P45" s="63" t="inlineStr"/>
    </row>
    <row r="46">
      <c r="A46" s="40" t="n">
        <v>26</v>
      </c>
      <c r="B46" s="40" t="inlineStr">
        <is>
          <t>Stary Dom</t>
        </is>
      </c>
      <c r="C46" s="41" t="n">
        <v>0.1</v>
      </c>
      <c r="D46" s="42" t="n">
        <v>1805.64</v>
      </c>
      <c r="E46" s="62" t="n">
        <v>1895.92</v>
      </c>
      <c r="F46" s="62" t="n">
        <v>0</v>
      </c>
      <c r="G46" s="62" t="n">
        <v>0</v>
      </c>
      <c r="H46" s="62" t="n">
        <v>0</v>
      </c>
      <c r="I46" s="62" t="n">
        <v>0</v>
      </c>
      <c r="J46" s="42">
        <f>SUM(F46:I46)</f>
        <v/>
      </c>
      <c r="K46" s="42">
        <f>J46-E46</f>
        <v/>
      </c>
      <c r="L46" s="41">
        <f>IF(E46&gt;0,J46/E46,0)</f>
        <v/>
      </c>
      <c r="M46" s="42" t="n">
        <v>419.92</v>
      </c>
      <c r="N46" s="42" t="n">
        <v>4534.96</v>
      </c>
      <c r="O46" s="63" t="inlineStr"/>
      <c r="P46" s="63" t="inlineStr"/>
    </row>
    <row r="47">
      <c r="A47" s="37" t="n">
        <v>27</v>
      </c>
      <c r="B47" s="37" t="inlineStr">
        <is>
          <t>Sushi Today by Sakana</t>
        </is>
      </c>
      <c r="C47" s="38" t="n">
        <v>0.2</v>
      </c>
      <c r="D47" s="39" t="n">
        <v>1422.76</v>
      </c>
      <c r="E47" s="62" t="n">
        <v>1493.9</v>
      </c>
      <c r="F47" s="62" t="n">
        <v>0</v>
      </c>
      <c r="G47" s="62" t="n">
        <v>0</v>
      </c>
      <c r="H47" s="62" t="n">
        <v>0</v>
      </c>
      <c r="I47" s="62" t="n">
        <v>0</v>
      </c>
      <c r="J47" s="39">
        <f>SUM(F47:I47)</f>
        <v/>
      </c>
      <c r="K47" s="39">
        <f>J47-E47</f>
        <v/>
      </c>
      <c r="L47" s="38">
        <f>IF(E47&gt;0,J47/E47,0)</f>
        <v/>
      </c>
      <c r="M47" s="39" t="n">
        <v>330.87</v>
      </c>
      <c r="N47" s="39" t="n">
        <v>2640.51</v>
      </c>
      <c r="O47" s="63" t="inlineStr"/>
      <c r="P47" s="63" t="inlineStr"/>
    </row>
    <row r="48">
      <c r="A48" s="40" t="n">
        <v>28</v>
      </c>
      <c r="B48" s="40" t="inlineStr">
        <is>
          <t>Hamra</t>
        </is>
      </c>
      <c r="C48" s="41" t="n">
        <v>0.3</v>
      </c>
      <c r="D48" s="42" t="n">
        <v>1073.54</v>
      </c>
      <c r="E48" s="62" t="n">
        <v>1127.22</v>
      </c>
      <c r="F48" s="62" t="n">
        <v>0</v>
      </c>
      <c r="G48" s="62" t="n">
        <v>0</v>
      </c>
      <c r="H48" s="62" t="n">
        <v>0</v>
      </c>
      <c r="I48" s="62" t="n">
        <v>0</v>
      </c>
      <c r="J48" s="42">
        <f>SUM(F48:I48)</f>
        <v/>
      </c>
      <c r="K48" s="42">
        <f>J48-E48</f>
        <v/>
      </c>
      <c r="L48" s="41">
        <f>IF(E48&gt;0,J48/E48,0)</f>
        <v/>
      </c>
      <c r="M48" s="42" t="n">
        <v>249.66</v>
      </c>
      <c r="N48" s="42" t="n">
        <v>2009.89</v>
      </c>
      <c r="O48" s="63" t="inlineStr"/>
      <c r="P48" s="63" t="inlineStr"/>
    </row>
    <row r="49">
      <c r="A49" s="37" t="n">
        <v>29</v>
      </c>
      <c r="B49" s="37" t="inlineStr">
        <is>
          <t xml:space="preserve">Alegloria </t>
        </is>
      </c>
      <c r="C49" s="38" t="n">
        <v>0.18</v>
      </c>
      <c r="D49" s="39" t="n">
        <v>1035.27</v>
      </c>
      <c r="E49" s="62" t="n">
        <v>1087.03</v>
      </c>
      <c r="F49" s="62" t="n">
        <v>0</v>
      </c>
      <c r="G49" s="62" t="n">
        <v>0</v>
      </c>
      <c r="H49" s="62" t="n">
        <v>0</v>
      </c>
      <c r="I49" s="62" t="n">
        <v>0</v>
      </c>
      <c r="J49" s="39">
        <f>SUM(F49:I49)</f>
        <v/>
      </c>
      <c r="K49" s="39">
        <f>J49-E49</f>
        <v/>
      </c>
      <c r="L49" s="38">
        <f>IF(E49&gt;0,J49/E49,0)</f>
        <v/>
      </c>
      <c r="M49" s="39" t="n">
        <v>240.76</v>
      </c>
      <c r="N49" s="39" t="n">
        <v>8533.33</v>
      </c>
      <c r="O49" s="63" t="inlineStr"/>
      <c r="P49" s="63" t="inlineStr"/>
    </row>
    <row r="50">
      <c r="A50" s="40" t="n">
        <v>30</v>
      </c>
      <c r="B50" s="40" t="inlineStr">
        <is>
          <t>HANULKA</t>
        </is>
      </c>
      <c r="C50" s="41" t="n">
        <v>0.18</v>
      </c>
      <c r="D50" s="42" t="n">
        <v>793.3200000000001</v>
      </c>
      <c r="E50" s="62" t="n">
        <v>832.99</v>
      </c>
      <c r="F50" s="62" t="n">
        <v>0</v>
      </c>
      <c r="G50" s="62" t="n">
        <v>0</v>
      </c>
      <c r="H50" s="62" t="n">
        <v>0</v>
      </c>
      <c r="I50" s="62" t="n">
        <v>0</v>
      </c>
      <c r="J50" s="42">
        <f>SUM(F50:I50)</f>
        <v/>
      </c>
      <c r="K50" s="42">
        <f>J50-E50</f>
        <v/>
      </c>
      <c r="L50" s="41">
        <f>IF(E50&gt;0,J50/E50,0)</f>
        <v/>
      </c>
      <c r="M50" s="42" t="n">
        <v>184.49</v>
      </c>
      <c r="N50" s="42" t="n">
        <v>0</v>
      </c>
      <c r="O50" s="63" t="inlineStr"/>
      <c r="P50" s="63" t="inlineStr"/>
    </row>
    <row r="51">
      <c r="A51" s="37" t="n">
        <v>31</v>
      </c>
      <c r="B51" s="37" t="inlineStr">
        <is>
          <t>Street ONZ</t>
        </is>
      </c>
      <c r="C51" s="38" t="n">
        <v>0.15</v>
      </c>
      <c r="D51" s="39" t="n">
        <v>548.87</v>
      </c>
      <c r="E51" s="62" t="n">
        <v>576.3099999999999</v>
      </c>
      <c r="F51" s="62" t="n">
        <v>0</v>
      </c>
      <c r="G51" s="62" t="n">
        <v>0</v>
      </c>
      <c r="H51" s="62" t="n">
        <v>0</v>
      </c>
      <c r="I51" s="62" t="n">
        <v>0</v>
      </c>
      <c r="J51" s="39">
        <f>SUM(F51:I51)</f>
        <v/>
      </c>
      <c r="K51" s="39">
        <f>J51-E51</f>
        <v/>
      </c>
      <c r="L51" s="38">
        <f>IF(E51&gt;0,J51/E51,0)</f>
        <v/>
      </c>
      <c r="M51" s="39" t="n">
        <v>127.64</v>
      </c>
      <c r="N51" s="39" t="n">
        <v>0</v>
      </c>
      <c r="O51" s="63" t="inlineStr"/>
      <c r="P51" s="63" t="inlineStr"/>
    </row>
    <row r="52">
      <c r="A52" s="40" t="n">
        <v>32</v>
      </c>
      <c r="B52" s="40" t="inlineStr">
        <is>
          <t>Restauracja Wilanów</t>
        </is>
      </c>
      <c r="C52" s="41" t="n">
        <v>0.2</v>
      </c>
      <c r="D52" s="42" t="n">
        <v>413.85</v>
      </c>
      <c r="E52" s="62" t="n">
        <v>434.54</v>
      </c>
      <c r="F52" s="62" t="n">
        <v>0</v>
      </c>
      <c r="G52" s="62" t="n">
        <v>0</v>
      </c>
      <c r="H52" s="62" t="n">
        <v>0</v>
      </c>
      <c r="I52" s="62" t="n">
        <v>0</v>
      </c>
      <c r="J52" s="42">
        <f>SUM(F52:I52)</f>
        <v/>
      </c>
      <c r="K52" s="42">
        <f>J52-E52</f>
        <v/>
      </c>
      <c r="L52" s="41">
        <f>IF(E52&gt;0,J52/E52,0)</f>
        <v/>
      </c>
      <c r="M52" s="42" t="n">
        <v>96.23999999999999</v>
      </c>
      <c r="N52" s="42" t="n">
        <v>6974.48</v>
      </c>
      <c r="O52" s="63" t="inlineStr"/>
      <c r="P52" s="63" t="inlineStr"/>
    </row>
    <row r="53">
      <c r="A53" s="37" t="n">
        <v>33</v>
      </c>
      <c r="B53" s="37" t="inlineStr">
        <is>
          <t>Culture Cafe - Grzybowska</t>
        </is>
      </c>
      <c r="C53" s="38" t="n">
        <v>0.2</v>
      </c>
      <c r="D53" s="39" t="n">
        <v>403.82</v>
      </c>
      <c r="E53" s="62" t="n">
        <v>424.01</v>
      </c>
      <c r="F53" s="62" t="n">
        <v>0</v>
      </c>
      <c r="G53" s="62" t="n">
        <v>0</v>
      </c>
      <c r="H53" s="62" t="n">
        <v>0</v>
      </c>
      <c r="I53" s="62" t="n">
        <v>0</v>
      </c>
      <c r="J53" s="39">
        <f>SUM(F53:I53)</f>
        <v/>
      </c>
      <c r="K53" s="39">
        <f>J53-E53</f>
        <v/>
      </c>
      <c r="L53" s="38">
        <f>IF(E53&gt;0,J53/E53,0)</f>
        <v/>
      </c>
      <c r="M53" s="39" t="n">
        <v>93.91</v>
      </c>
      <c r="N53" s="39" t="n">
        <v>1084.92</v>
      </c>
      <c r="O53" s="63" t="inlineStr"/>
      <c r="P53" s="63" t="inlineStr"/>
    </row>
    <row r="54">
      <c r="A54" s="43" t="n">
        <v>34</v>
      </c>
      <c r="B54" s="43" t="inlineStr">
        <is>
          <t>Solivoda - Pruszków</t>
        </is>
      </c>
      <c r="C54" s="44" t="n">
        <v>0.18</v>
      </c>
      <c r="D54" s="45" t="n">
        <v>0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5">
        <f>SUM(F54:I54)</f>
        <v/>
      </c>
      <c r="K54" s="45">
        <f>J54-E54</f>
        <v/>
      </c>
      <c r="L54" s="44">
        <f>IF(E54&gt;0,J54/E54,0)</f>
        <v/>
      </c>
      <c r="M54" s="45" t="n">
        <v>0</v>
      </c>
      <c r="N54" s="45" t="n">
        <v>0</v>
      </c>
      <c r="O54" s="43" t="inlineStr"/>
      <c r="P54" s="43" t="inlineStr"/>
    </row>
    <row r="55">
      <c r="A55" s="43" t="n">
        <v>35</v>
      </c>
      <c r="B55" s="43" t="inlineStr">
        <is>
          <t>Przedszkole nr.2 `Tęczowe Przedszkole`</t>
        </is>
      </c>
      <c r="C55" s="44" t="n">
        <v>0.1</v>
      </c>
      <c r="D55" s="45" t="n">
        <v>0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5">
        <f>SUM(F55:I55)</f>
        <v/>
      </c>
      <c r="K55" s="45">
        <f>J55-E55</f>
        <v/>
      </c>
      <c r="L55" s="44">
        <f>IF(E55&gt;0,J55/E55,0)</f>
        <v/>
      </c>
      <c r="M55" s="45" t="n">
        <v>0</v>
      </c>
      <c r="N55" s="45" t="n">
        <v>3210.01</v>
      </c>
      <c r="O55" s="43" t="inlineStr"/>
      <c r="P55" s="43" t="inlineStr"/>
    </row>
    <row r="56">
      <c r="A56" s="43" t="n">
        <v>36</v>
      </c>
      <c r="B56" s="43" t="inlineStr">
        <is>
          <t>POLKA</t>
        </is>
      </c>
      <c r="C56" s="44" t="n">
        <v>0.18</v>
      </c>
      <c r="D56" s="45" t="n">
        <v>0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5">
        <f>SUM(F56:I56)</f>
        <v/>
      </c>
      <c r="K56" s="45">
        <f>J56-E56</f>
        <v/>
      </c>
      <c r="L56" s="44">
        <f>IF(E56&gt;0,J56/E56,0)</f>
        <v/>
      </c>
      <c r="M56" s="45" t="n">
        <v>0</v>
      </c>
      <c r="N56" s="45" t="n">
        <v>0</v>
      </c>
      <c r="O56" s="43" t="inlineStr"/>
      <c r="P56" s="43" t="inlineStr"/>
    </row>
    <row r="57">
      <c r="A57" s="64" t="n"/>
      <c r="B57" s="28" t="inlineStr">
        <is>
          <t>RAZEM PREMIUM MAGDA</t>
        </is>
      </c>
      <c r="C57" s="65" t="n"/>
      <c r="D57" s="66">
        <f>SUM(D21:D56)</f>
        <v/>
      </c>
      <c r="E57" s="66">
        <f>SUM(E21:E56)</f>
        <v/>
      </c>
      <c r="F57" s="66">
        <f>SUM(F21:F56)</f>
        <v/>
      </c>
      <c r="G57" s="66">
        <f>SUM(G21:G56)</f>
        <v/>
      </c>
      <c r="H57" s="66">
        <f>SUM(H21:H56)</f>
        <v/>
      </c>
      <c r="I57" s="66">
        <f>SUM(I21:I56)</f>
        <v/>
      </c>
      <c r="J57" s="66">
        <f>SUM(J21:J56)</f>
        <v/>
      </c>
      <c r="K57" s="66">
        <f>SUM(K21:K56)</f>
        <v/>
      </c>
      <c r="L57" s="67">
        <f>IF(E57&gt;0,J57/E57,0)</f>
        <v/>
      </c>
      <c r="M57" s="68" t="n"/>
      <c r="N57" s="66">
        <f>SUM(N21:N56)</f>
        <v/>
      </c>
      <c r="O57" s="64" t="n"/>
      <c r="P57" s="64" t="n"/>
    </row>
    <row r="59">
      <c r="A59" s="71" t="inlineStr">
        <is>
          <t>STANDARD MAGDA</t>
        </is>
      </c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</row>
    <row r="60">
      <c r="A60" s="52" t="inlineStr">
        <is>
          <t>Poz.</t>
        </is>
      </c>
      <c r="B60" s="52" t="inlineStr">
        <is>
          <t>Klient</t>
        </is>
      </c>
      <c r="C60" s="52" t="inlineStr">
        <is>
          <t>Rabat%</t>
        </is>
      </c>
      <c r="D60" s="52" t="inlineStr">
        <is>
          <t>Sprzedaż
Sty 26</t>
        </is>
      </c>
      <c r="E60" s="52" t="inlineStr">
        <is>
          <t>CEL Luty 26
(Sty +5%)</t>
        </is>
      </c>
      <c r="F60" s="52" t="inlineStr">
        <is>
          <t>Tydz 1
(02-08)</t>
        </is>
      </c>
      <c r="G60" s="52" t="inlineStr">
        <is>
          <t>Tydz 2
(09-15)</t>
        </is>
      </c>
      <c r="H60" s="52" t="inlineStr">
        <is>
          <t>Tydz 3
(16-22)</t>
        </is>
      </c>
      <c r="I60" s="52" t="inlineStr">
        <is>
          <t>Tydz 4
(23-28)</t>
        </is>
      </c>
      <c r="J60" s="52" t="inlineStr">
        <is>
          <t>SUMA
Realizacja</t>
        </is>
      </c>
      <c r="K60" s="52" t="inlineStr">
        <is>
          <t>Różnica
vs CEL</t>
        </is>
      </c>
      <c r="L60" s="52" t="inlineStr">
        <is>
          <t>% Real.</t>
        </is>
      </c>
      <c r="M60" s="52" t="inlineStr">
        <is>
          <t>Śr. Tyg.
Sty 26</t>
        </is>
      </c>
      <c r="N60" s="52" t="inlineStr">
        <is>
          <t>Sprzedaż
Gru 25</t>
        </is>
      </c>
      <c r="O60" s="52" t="inlineStr">
        <is>
          <t>Notatki</t>
        </is>
      </c>
      <c r="P60" s="52" t="inlineStr">
        <is>
          <t>Status</t>
        </is>
      </c>
    </row>
    <row r="61">
      <c r="A61" s="37" t="n">
        <v>1</v>
      </c>
      <c r="B61" s="37" t="inlineStr">
        <is>
          <t>Japoński Sąsiad 2 CZAPELSKA</t>
        </is>
      </c>
      <c r="C61" s="38" t="n">
        <v>0.2</v>
      </c>
      <c r="D61" s="39" t="n">
        <v>19127.96</v>
      </c>
      <c r="E61" s="62" t="n">
        <v>20084.36</v>
      </c>
      <c r="F61" s="62" t="n">
        <v>0</v>
      </c>
      <c r="G61" s="62" t="n">
        <v>0</v>
      </c>
      <c r="H61" s="62" t="n">
        <v>0</v>
      </c>
      <c r="I61" s="62" t="n">
        <v>0</v>
      </c>
      <c r="J61" s="39">
        <f>SUM(F61:I61)</f>
        <v/>
      </c>
      <c r="K61" s="39">
        <f>J61-E61</f>
        <v/>
      </c>
      <c r="L61" s="38">
        <f>IF(E61&gt;0,J61/E61,0)</f>
        <v/>
      </c>
      <c r="M61" s="39" t="n">
        <v>4448.36</v>
      </c>
      <c r="N61" s="39" t="n">
        <v>2120.92</v>
      </c>
      <c r="O61" s="63" t="inlineStr"/>
      <c r="P61" s="63" t="inlineStr"/>
    </row>
    <row r="62">
      <c r="A62" s="40" t="n">
        <v>2</v>
      </c>
      <c r="B62" s="40" t="inlineStr">
        <is>
          <t>Babcia Włoszka</t>
        </is>
      </c>
      <c r="C62" s="41" t="n">
        <v>0.2</v>
      </c>
      <c r="D62" s="42" t="n">
        <v>6757.17</v>
      </c>
      <c r="E62" s="62" t="n">
        <v>7095.03</v>
      </c>
      <c r="F62" s="62" t="n">
        <v>0</v>
      </c>
      <c r="G62" s="62" t="n">
        <v>0</v>
      </c>
      <c r="H62" s="62" t="n">
        <v>0</v>
      </c>
      <c r="I62" s="62" t="n">
        <v>0</v>
      </c>
      <c r="J62" s="42">
        <f>SUM(F62:I62)</f>
        <v/>
      </c>
      <c r="K62" s="42">
        <f>J62-E62</f>
        <v/>
      </c>
      <c r="L62" s="41">
        <f>IF(E62&gt;0,J62/E62,0)</f>
        <v/>
      </c>
      <c r="M62" s="42" t="n">
        <v>1571.43</v>
      </c>
      <c r="N62" s="42" t="n">
        <v>6181.850000000001</v>
      </c>
      <c r="O62" s="63" t="inlineStr"/>
      <c r="P62" s="63" t="inlineStr"/>
    </row>
    <row r="63">
      <c r="A63" s="37" t="n">
        <v>3</v>
      </c>
      <c r="B63" s="37" t="inlineStr">
        <is>
          <t>La Casa Bistro &amp; Cafe</t>
        </is>
      </c>
      <c r="C63" s="38" t="n">
        <v>0.2</v>
      </c>
      <c r="D63" s="39" t="n">
        <v>5406.76</v>
      </c>
      <c r="E63" s="62" t="n">
        <v>5677.1</v>
      </c>
      <c r="F63" s="62" t="n">
        <v>0</v>
      </c>
      <c r="G63" s="62" t="n">
        <v>0</v>
      </c>
      <c r="H63" s="62" t="n">
        <v>0</v>
      </c>
      <c r="I63" s="62" t="n">
        <v>0</v>
      </c>
      <c r="J63" s="39">
        <f>SUM(F63:I63)</f>
        <v/>
      </c>
      <c r="K63" s="39">
        <f>J63-E63</f>
        <v/>
      </c>
      <c r="L63" s="38">
        <f>IF(E63&gt;0,J63/E63,0)</f>
        <v/>
      </c>
      <c r="M63" s="39" t="n">
        <v>1257.39</v>
      </c>
      <c r="N63" s="39" t="n">
        <v>4013.25</v>
      </c>
      <c r="O63" s="63" t="inlineStr"/>
      <c r="P63" s="63" t="inlineStr"/>
    </row>
    <row r="64">
      <c r="A64" s="40" t="n">
        <v>4</v>
      </c>
      <c r="B64" s="40" t="inlineStr">
        <is>
          <t>Park Cafe 2</t>
        </is>
      </c>
      <c r="C64" s="41" t="n">
        <v>0.2</v>
      </c>
      <c r="D64" s="42" t="n">
        <v>3967.97</v>
      </c>
      <c r="E64" s="62" t="n">
        <v>4166.37</v>
      </c>
      <c r="F64" s="62" t="n">
        <v>0</v>
      </c>
      <c r="G64" s="62" t="n">
        <v>0</v>
      </c>
      <c r="H64" s="62" t="n">
        <v>0</v>
      </c>
      <c r="I64" s="62" t="n">
        <v>0</v>
      </c>
      <c r="J64" s="42">
        <f>SUM(F64:I64)</f>
        <v/>
      </c>
      <c r="K64" s="42">
        <f>J64-E64</f>
        <v/>
      </c>
      <c r="L64" s="41">
        <f>IF(E64&gt;0,J64/E64,0)</f>
        <v/>
      </c>
      <c r="M64" s="42" t="n">
        <v>922.78</v>
      </c>
      <c r="N64" s="42" t="n">
        <v>10904.74</v>
      </c>
      <c r="O64" s="63" t="inlineStr"/>
      <c r="P64" s="63" t="inlineStr"/>
    </row>
    <row r="65">
      <c r="A65" s="37" t="n">
        <v>5</v>
      </c>
      <c r="B65" s="37" t="inlineStr">
        <is>
          <t>Krzysztof Cieślak</t>
        </is>
      </c>
      <c r="C65" s="38" t="n">
        <v>0.08</v>
      </c>
      <c r="D65" s="39" t="n">
        <v>3942.96</v>
      </c>
      <c r="E65" s="62" t="n">
        <v>4140.11</v>
      </c>
      <c r="F65" s="62" t="n">
        <v>0</v>
      </c>
      <c r="G65" s="62" t="n">
        <v>0</v>
      </c>
      <c r="H65" s="62" t="n">
        <v>0</v>
      </c>
      <c r="I65" s="62" t="n">
        <v>0</v>
      </c>
      <c r="J65" s="39">
        <f>SUM(F65:I65)</f>
        <v/>
      </c>
      <c r="K65" s="39">
        <f>J65-E65</f>
        <v/>
      </c>
      <c r="L65" s="38">
        <f>IF(E65&gt;0,J65/E65,0)</f>
        <v/>
      </c>
      <c r="M65" s="39" t="n">
        <v>916.97</v>
      </c>
      <c r="N65" s="39" t="n">
        <v>3379.68</v>
      </c>
      <c r="O65" s="63" t="inlineStr"/>
      <c r="P65" s="63" t="inlineStr"/>
    </row>
    <row r="66">
      <c r="A66" s="40" t="n">
        <v>6</v>
      </c>
      <c r="B66" s="40" t="inlineStr">
        <is>
          <t>Gmina Belsk</t>
        </is>
      </c>
      <c r="C66" s="41" t="n">
        <v>0.15</v>
      </c>
      <c r="D66" s="42" t="n">
        <v>3611.61</v>
      </c>
      <c r="E66" s="62" t="n">
        <v>3792.19</v>
      </c>
      <c r="F66" s="62" t="n">
        <v>0</v>
      </c>
      <c r="G66" s="62" t="n">
        <v>0</v>
      </c>
      <c r="H66" s="62" t="n">
        <v>0</v>
      </c>
      <c r="I66" s="62" t="n">
        <v>0</v>
      </c>
      <c r="J66" s="42">
        <f>SUM(F66:I66)</f>
        <v/>
      </c>
      <c r="K66" s="42">
        <f>J66-E66</f>
        <v/>
      </c>
      <c r="L66" s="41">
        <f>IF(E66&gt;0,J66/E66,0)</f>
        <v/>
      </c>
      <c r="M66" s="42" t="n">
        <v>839.91</v>
      </c>
      <c r="N66" s="42" t="n">
        <v>0</v>
      </c>
      <c r="O66" s="63" t="inlineStr"/>
      <c r="P66" s="63" t="inlineStr"/>
    </row>
    <row r="67">
      <c r="A67" s="37" t="n">
        <v>7</v>
      </c>
      <c r="B67" s="37" t="inlineStr">
        <is>
          <t>PADRON</t>
        </is>
      </c>
      <c r="C67" s="38" t="n">
        <v>0.18</v>
      </c>
      <c r="D67" s="39" t="n">
        <v>3198.34</v>
      </c>
      <c r="E67" s="62" t="n">
        <v>3358.26</v>
      </c>
      <c r="F67" s="62" t="n">
        <v>0</v>
      </c>
      <c r="G67" s="62" t="n">
        <v>0</v>
      </c>
      <c r="H67" s="62" t="n">
        <v>0</v>
      </c>
      <c r="I67" s="62" t="n">
        <v>0</v>
      </c>
      <c r="J67" s="39">
        <f>SUM(F67:I67)</f>
        <v/>
      </c>
      <c r="K67" s="39">
        <f>J67-E67</f>
        <v/>
      </c>
      <c r="L67" s="38">
        <f>IF(E67&gt;0,J67/E67,0)</f>
        <v/>
      </c>
      <c r="M67" s="39" t="n">
        <v>743.8</v>
      </c>
      <c r="N67" s="39" t="n">
        <v>5018.190000000001</v>
      </c>
      <c r="O67" s="63" t="inlineStr"/>
      <c r="P67" s="63" t="inlineStr"/>
    </row>
    <row r="68">
      <c r="A68" s="40" t="n">
        <v>8</v>
      </c>
      <c r="B68" s="40" t="inlineStr">
        <is>
          <t>PROSUSHI BROWARY</t>
        </is>
      </c>
      <c r="C68" s="41" t="n">
        <v>0.15</v>
      </c>
      <c r="D68" s="42" t="n">
        <v>3061.79</v>
      </c>
      <c r="E68" s="62" t="n">
        <v>3214.88</v>
      </c>
      <c r="F68" s="62" t="n">
        <v>0</v>
      </c>
      <c r="G68" s="62" t="n">
        <v>0</v>
      </c>
      <c r="H68" s="62" t="n">
        <v>0</v>
      </c>
      <c r="I68" s="62" t="n">
        <v>0</v>
      </c>
      <c r="J68" s="42">
        <f>SUM(F68:I68)</f>
        <v/>
      </c>
      <c r="K68" s="42">
        <f>J68-E68</f>
        <v/>
      </c>
      <c r="L68" s="41">
        <f>IF(E68&gt;0,J68/E68,0)</f>
        <v/>
      </c>
      <c r="M68" s="42" t="n">
        <v>712.04</v>
      </c>
      <c r="N68" s="42" t="n">
        <v>4524.99</v>
      </c>
      <c r="O68" s="63" t="inlineStr"/>
      <c r="P68" s="63" t="inlineStr"/>
    </row>
    <row r="69">
      <c r="A69" s="37" t="n">
        <v>9</v>
      </c>
      <c r="B69" s="37" t="inlineStr">
        <is>
          <t>Shiso Sushi</t>
        </is>
      </c>
      <c r="C69" s="38" t="n">
        <v>0.15</v>
      </c>
      <c r="D69" s="39" t="n">
        <v>2889.43</v>
      </c>
      <c r="E69" s="62" t="n">
        <v>3033.9</v>
      </c>
      <c r="F69" s="62" t="n">
        <v>0</v>
      </c>
      <c r="G69" s="62" t="n">
        <v>0</v>
      </c>
      <c r="H69" s="62" t="n">
        <v>0</v>
      </c>
      <c r="I69" s="62" t="n">
        <v>0</v>
      </c>
      <c r="J69" s="39">
        <f>SUM(F69:I69)</f>
        <v/>
      </c>
      <c r="K69" s="39">
        <f>J69-E69</f>
        <v/>
      </c>
      <c r="L69" s="38">
        <f>IF(E69&gt;0,J69/E69,0)</f>
        <v/>
      </c>
      <c r="M69" s="39" t="n">
        <v>671.96</v>
      </c>
      <c r="N69" s="39" t="n">
        <v>4003.32</v>
      </c>
      <c r="O69" s="63" t="inlineStr"/>
      <c r="P69" s="63" t="inlineStr"/>
    </row>
    <row r="70">
      <c r="A70" s="40" t="n">
        <v>10</v>
      </c>
      <c r="B70" s="40" t="inlineStr">
        <is>
          <t>Hoshi Sushi Mszczonów</t>
        </is>
      </c>
      <c r="C70" s="41" t="n">
        <v>0.1</v>
      </c>
      <c r="D70" s="42" t="n">
        <v>2504.92</v>
      </c>
      <c r="E70" s="62" t="n">
        <v>2630.17</v>
      </c>
      <c r="F70" s="62" t="n">
        <v>0</v>
      </c>
      <c r="G70" s="62" t="n">
        <v>0</v>
      </c>
      <c r="H70" s="62" t="n">
        <v>0</v>
      </c>
      <c r="I70" s="62" t="n">
        <v>0</v>
      </c>
      <c r="J70" s="42">
        <f>SUM(F70:I70)</f>
        <v/>
      </c>
      <c r="K70" s="42">
        <f>J70-E70</f>
        <v/>
      </c>
      <c r="L70" s="41">
        <f>IF(E70&gt;0,J70/E70,0)</f>
        <v/>
      </c>
      <c r="M70" s="42" t="n">
        <v>582.54</v>
      </c>
      <c r="N70" s="42" t="n">
        <v>1920.52</v>
      </c>
      <c r="O70" s="63" t="inlineStr"/>
      <c r="P70" s="63" t="inlineStr"/>
    </row>
    <row r="71">
      <c r="A71" s="37" t="n">
        <v>11</v>
      </c>
      <c r="B71" s="37" t="inlineStr">
        <is>
          <t>Mazurkas</t>
        </is>
      </c>
      <c r="C71" s="38" t="n">
        <v>0.1</v>
      </c>
      <c r="D71" s="39" t="n">
        <v>2497.48</v>
      </c>
      <c r="E71" s="62" t="n">
        <v>2622.35</v>
      </c>
      <c r="F71" s="62" t="n">
        <v>0</v>
      </c>
      <c r="G71" s="62" t="n">
        <v>0</v>
      </c>
      <c r="H71" s="62" t="n">
        <v>0</v>
      </c>
      <c r="I71" s="62" t="n">
        <v>0</v>
      </c>
      <c r="J71" s="39">
        <f>SUM(F71:I71)</f>
        <v/>
      </c>
      <c r="K71" s="39">
        <f>J71-E71</f>
        <v/>
      </c>
      <c r="L71" s="38">
        <f>IF(E71&gt;0,J71/E71,0)</f>
        <v/>
      </c>
      <c r="M71" s="39" t="n">
        <v>580.8099999999999</v>
      </c>
      <c r="N71" s="39" t="n">
        <v>1153.85</v>
      </c>
      <c r="O71" s="63" t="inlineStr"/>
      <c r="P71" s="63" t="inlineStr"/>
    </row>
    <row r="72">
      <c r="A72" s="40" t="n">
        <v>12</v>
      </c>
      <c r="B72" s="40" t="inlineStr">
        <is>
          <t>Seafood House - SEABREEZE</t>
        </is>
      </c>
      <c r="C72" s="41" t="n">
        <v>0.1</v>
      </c>
      <c r="D72" s="42" t="n">
        <v>2484.75</v>
      </c>
      <c r="E72" s="62" t="n">
        <v>2608.99</v>
      </c>
      <c r="F72" s="62" t="n">
        <v>0</v>
      </c>
      <c r="G72" s="62" t="n">
        <v>0</v>
      </c>
      <c r="H72" s="62" t="n">
        <v>0</v>
      </c>
      <c r="I72" s="62" t="n">
        <v>0</v>
      </c>
      <c r="J72" s="42">
        <f>SUM(F72:I72)</f>
        <v/>
      </c>
      <c r="K72" s="42">
        <f>J72-E72</f>
        <v/>
      </c>
      <c r="L72" s="41">
        <f>IF(E72&gt;0,J72/E72,0)</f>
        <v/>
      </c>
      <c r="M72" s="42" t="n">
        <v>577.85</v>
      </c>
      <c r="N72" s="42" t="n">
        <v>5454.820000000001</v>
      </c>
      <c r="O72" s="63" t="inlineStr"/>
      <c r="P72" s="63" t="inlineStr"/>
    </row>
    <row r="73">
      <c r="A73" s="37" t="n">
        <v>13</v>
      </c>
      <c r="B73" s="37" t="inlineStr">
        <is>
          <t>VIVA TANGO</t>
        </is>
      </c>
      <c r="C73" s="38" t="n">
        <v>0.1</v>
      </c>
      <c r="D73" s="39" t="n">
        <v>2472.07</v>
      </c>
      <c r="E73" s="62" t="n">
        <v>2595.67</v>
      </c>
      <c r="F73" s="62" t="n">
        <v>0</v>
      </c>
      <c r="G73" s="62" t="n">
        <v>0</v>
      </c>
      <c r="H73" s="62" t="n">
        <v>0</v>
      </c>
      <c r="I73" s="62" t="n">
        <v>0</v>
      </c>
      <c r="J73" s="39">
        <f>SUM(F73:I73)</f>
        <v/>
      </c>
      <c r="K73" s="39">
        <f>J73-E73</f>
        <v/>
      </c>
      <c r="L73" s="38">
        <f>IF(E73&gt;0,J73/E73,0)</f>
        <v/>
      </c>
      <c r="M73" s="39" t="n">
        <v>574.9</v>
      </c>
      <c r="N73" s="39" t="n">
        <v>5148.28</v>
      </c>
      <c r="O73" s="63" t="inlineStr"/>
      <c r="P73" s="63" t="inlineStr"/>
    </row>
    <row r="74">
      <c r="A74" s="40" t="n">
        <v>14</v>
      </c>
      <c r="B74" s="40" t="inlineStr">
        <is>
          <t>PROSUSHI</t>
        </is>
      </c>
      <c r="C74" s="41" t="n">
        <v>0.15</v>
      </c>
      <c r="D74" s="42" t="n">
        <v>2410.2</v>
      </c>
      <c r="E74" s="62" t="n">
        <v>2530.71</v>
      </c>
      <c r="F74" s="62" t="n">
        <v>0</v>
      </c>
      <c r="G74" s="62" t="n">
        <v>0</v>
      </c>
      <c r="H74" s="62" t="n">
        <v>0</v>
      </c>
      <c r="I74" s="62" t="n">
        <v>0</v>
      </c>
      <c r="J74" s="42">
        <f>SUM(F74:I74)</f>
        <v/>
      </c>
      <c r="K74" s="42">
        <f>J74-E74</f>
        <v/>
      </c>
      <c r="L74" s="41">
        <f>IF(E74&gt;0,J74/E74,0)</f>
        <v/>
      </c>
      <c r="M74" s="42" t="n">
        <v>560.51</v>
      </c>
      <c r="N74" s="42" t="n">
        <v>3870.17</v>
      </c>
      <c r="O74" s="63" t="inlineStr"/>
      <c r="P74" s="63" t="inlineStr"/>
    </row>
    <row r="75">
      <c r="A75" s="37" t="n">
        <v>15</v>
      </c>
      <c r="B75" s="37" t="inlineStr">
        <is>
          <t>U Barssa</t>
        </is>
      </c>
      <c r="C75" s="38" t="n">
        <v>0.15</v>
      </c>
      <c r="D75" s="39" t="n">
        <v>2362.75</v>
      </c>
      <c r="E75" s="62" t="n">
        <v>2480.89</v>
      </c>
      <c r="F75" s="62" t="n">
        <v>0</v>
      </c>
      <c r="G75" s="62" t="n">
        <v>0</v>
      </c>
      <c r="H75" s="62" t="n">
        <v>0</v>
      </c>
      <c r="I75" s="62" t="n">
        <v>0</v>
      </c>
      <c r="J75" s="39">
        <f>SUM(F75:I75)</f>
        <v/>
      </c>
      <c r="K75" s="39">
        <f>J75-E75</f>
        <v/>
      </c>
      <c r="L75" s="38">
        <f>IF(E75&gt;0,J75/E75,0)</f>
        <v/>
      </c>
      <c r="M75" s="39" t="n">
        <v>549.48</v>
      </c>
      <c r="N75" s="39" t="n">
        <v>4422.940000000001</v>
      </c>
      <c r="O75" s="63" t="inlineStr"/>
      <c r="P75" s="63" t="inlineStr"/>
    </row>
    <row r="76">
      <c r="A76" s="40" t="n">
        <v>16</v>
      </c>
      <c r="B76" s="40" t="inlineStr">
        <is>
          <t>Japoński Sąsiad BANDERII</t>
        </is>
      </c>
      <c r="C76" s="41" t="n">
        <v>0.2</v>
      </c>
      <c r="D76" s="42" t="n">
        <v>2348.35</v>
      </c>
      <c r="E76" s="62" t="n">
        <v>2465.77</v>
      </c>
      <c r="F76" s="62" t="n">
        <v>0</v>
      </c>
      <c r="G76" s="62" t="n">
        <v>0</v>
      </c>
      <c r="H76" s="62" t="n">
        <v>0</v>
      </c>
      <c r="I76" s="62" t="n">
        <v>0</v>
      </c>
      <c r="J76" s="42">
        <f>SUM(F76:I76)</f>
        <v/>
      </c>
      <c r="K76" s="42">
        <f>J76-E76</f>
        <v/>
      </c>
      <c r="L76" s="41">
        <f>IF(E76&gt;0,J76/E76,0)</f>
        <v/>
      </c>
      <c r="M76" s="42" t="n">
        <v>546.13</v>
      </c>
      <c r="N76" s="42" t="n">
        <v>2612.24</v>
      </c>
      <c r="O76" s="63" t="inlineStr"/>
      <c r="P76" s="63" t="inlineStr"/>
    </row>
    <row r="77">
      <c r="A77" s="37" t="n">
        <v>17</v>
      </c>
      <c r="B77" s="37" t="inlineStr">
        <is>
          <t>Steak Dolna 41</t>
        </is>
      </c>
      <c r="C77" s="38" t="n">
        <v>0.1</v>
      </c>
      <c r="D77" s="39" t="n">
        <v>2278.21</v>
      </c>
      <c r="E77" s="62" t="n">
        <v>2392.12</v>
      </c>
      <c r="F77" s="62" t="n">
        <v>0</v>
      </c>
      <c r="G77" s="62" t="n">
        <v>0</v>
      </c>
      <c r="H77" s="62" t="n">
        <v>0</v>
      </c>
      <c r="I77" s="62" t="n">
        <v>0</v>
      </c>
      <c r="J77" s="39">
        <f>SUM(F77:I77)</f>
        <v/>
      </c>
      <c r="K77" s="39">
        <f>J77-E77</f>
        <v/>
      </c>
      <c r="L77" s="38">
        <f>IF(E77&gt;0,J77/E77,0)</f>
        <v/>
      </c>
      <c r="M77" s="39" t="n">
        <v>529.8200000000001</v>
      </c>
      <c r="N77" s="39" t="n">
        <v>1868.44</v>
      </c>
      <c r="O77" s="63" t="inlineStr"/>
      <c r="P77" s="63" t="inlineStr"/>
    </row>
    <row r="78">
      <c r="A78" s="40" t="n">
        <v>18</v>
      </c>
      <c r="B78" s="40" t="inlineStr">
        <is>
          <t>Negroni Centrale</t>
        </is>
      </c>
      <c r="C78" s="41" t="n">
        <v>0.18</v>
      </c>
      <c r="D78" s="42" t="n">
        <v>2242.1</v>
      </c>
      <c r="E78" s="62" t="n">
        <v>2354.2</v>
      </c>
      <c r="F78" s="62" t="n">
        <v>0</v>
      </c>
      <c r="G78" s="62" t="n">
        <v>0</v>
      </c>
      <c r="H78" s="62" t="n">
        <v>0</v>
      </c>
      <c r="I78" s="62" t="n">
        <v>0</v>
      </c>
      <c r="J78" s="42">
        <f>SUM(F78:I78)</f>
        <v/>
      </c>
      <c r="K78" s="42">
        <f>J78-E78</f>
        <v/>
      </c>
      <c r="L78" s="41">
        <f>IF(E78&gt;0,J78/E78,0)</f>
        <v/>
      </c>
      <c r="M78" s="42" t="n">
        <v>521.42</v>
      </c>
      <c r="N78" s="42" t="n">
        <v>3470.54</v>
      </c>
      <c r="O78" s="63" t="inlineStr"/>
      <c r="P78" s="63" t="inlineStr"/>
    </row>
    <row r="79">
      <c r="A79" s="37" t="n">
        <v>19</v>
      </c>
      <c r="B79" s="37" t="inlineStr">
        <is>
          <t>ZPR Casino 2</t>
        </is>
      </c>
      <c r="C79" s="38" t="n">
        <v>0.1</v>
      </c>
      <c r="D79" s="39" t="n">
        <v>2142.08</v>
      </c>
      <c r="E79" s="62" t="n">
        <v>2249.18</v>
      </c>
      <c r="F79" s="62" t="n">
        <v>0</v>
      </c>
      <c r="G79" s="62" t="n">
        <v>0</v>
      </c>
      <c r="H79" s="62" t="n">
        <v>0</v>
      </c>
      <c r="I79" s="62" t="n">
        <v>0</v>
      </c>
      <c r="J79" s="39">
        <f>SUM(F79:I79)</f>
        <v/>
      </c>
      <c r="K79" s="39">
        <f>J79-E79</f>
        <v/>
      </c>
      <c r="L79" s="38">
        <f>IF(E79&gt;0,J79/E79,0)</f>
        <v/>
      </c>
      <c r="M79" s="39" t="n">
        <v>498.16</v>
      </c>
      <c r="N79" s="39" t="n">
        <v>2619.99</v>
      </c>
      <c r="O79" s="63" t="inlineStr"/>
      <c r="P79" s="63" t="inlineStr"/>
    </row>
    <row r="80">
      <c r="A80" s="40" t="n">
        <v>20</v>
      </c>
      <c r="B80" s="40" t="inlineStr">
        <is>
          <t>EL PATIO</t>
        </is>
      </c>
      <c r="C80" s="41" t="n">
        <v>0.2</v>
      </c>
      <c r="D80" s="42" t="n">
        <v>2083.11</v>
      </c>
      <c r="E80" s="62" t="n">
        <v>2187.27</v>
      </c>
      <c r="F80" s="62" t="n">
        <v>0</v>
      </c>
      <c r="G80" s="62" t="n">
        <v>0</v>
      </c>
      <c r="H80" s="62" t="n">
        <v>0</v>
      </c>
      <c r="I80" s="62" t="n">
        <v>0</v>
      </c>
      <c r="J80" s="42">
        <f>SUM(F80:I80)</f>
        <v/>
      </c>
      <c r="K80" s="42">
        <f>J80-E80</f>
        <v/>
      </c>
      <c r="L80" s="41">
        <f>IF(E80&gt;0,J80/E80,0)</f>
        <v/>
      </c>
      <c r="M80" s="42" t="n">
        <v>484.44</v>
      </c>
      <c r="N80" s="42" t="n">
        <v>2660.62</v>
      </c>
      <c r="O80" s="63" t="inlineStr"/>
      <c r="P80" s="63" t="inlineStr"/>
    </row>
    <row r="81">
      <c r="A81" s="37" t="n">
        <v>21</v>
      </c>
      <c r="B81" s="37" t="inlineStr">
        <is>
          <t>Chocobon - CATERING</t>
        </is>
      </c>
      <c r="C81" s="38" t="n">
        <v>0.3</v>
      </c>
      <c r="D81" s="39" t="n">
        <v>1815.29</v>
      </c>
      <c r="E81" s="62" t="n">
        <v>1906.05</v>
      </c>
      <c r="F81" s="62" t="n">
        <v>0</v>
      </c>
      <c r="G81" s="62" t="n">
        <v>0</v>
      </c>
      <c r="H81" s="62" t="n">
        <v>0</v>
      </c>
      <c r="I81" s="62" t="n">
        <v>0</v>
      </c>
      <c r="J81" s="39">
        <f>SUM(F81:I81)</f>
        <v/>
      </c>
      <c r="K81" s="39">
        <f>J81-E81</f>
        <v/>
      </c>
      <c r="L81" s="38">
        <f>IF(E81&gt;0,J81/E81,0)</f>
        <v/>
      </c>
      <c r="M81" s="39" t="n">
        <v>422.16</v>
      </c>
      <c r="N81" s="39" t="n">
        <v>2386.96</v>
      </c>
      <c r="O81" s="63" t="inlineStr"/>
      <c r="P81" s="63" t="inlineStr"/>
    </row>
    <row r="82">
      <c r="A82" s="40" t="n">
        <v>22</v>
      </c>
      <c r="B82" s="40" t="inlineStr">
        <is>
          <t>LIMBA</t>
        </is>
      </c>
      <c r="C82" s="41" t="n">
        <v>0.1</v>
      </c>
      <c r="D82" s="42" t="n">
        <v>1504.84</v>
      </c>
      <c r="E82" s="62" t="n">
        <v>1580.08</v>
      </c>
      <c r="F82" s="62" t="n">
        <v>0</v>
      </c>
      <c r="G82" s="62" t="n">
        <v>0</v>
      </c>
      <c r="H82" s="62" t="n">
        <v>0</v>
      </c>
      <c r="I82" s="62" t="n">
        <v>0</v>
      </c>
      <c r="J82" s="42">
        <f>SUM(F82:I82)</f>
        <v/>
      </c>
      <c r="K82" s="42">
        <f>J82-E82</f>
        <v/>
      </c>
      <c r="L82" s="41">
        <f>IF(E82&gt;0,J82/E82,0)</f>
        <v/>
      </c>
      <c r="M82" s="42" t="n">
        <v>349.96</v>
      </c>
      <c r="N82" s="42" t="n">
        <v>880.54</v>
      </c>
      <c r="O82" s="63" t="inlineStr"/>
      <c r="P82" s="63" t="inlineStr"/>
    </row>
    <row r="83">
      <c r="A83" s="37" t="n">
        <v>23</v>
      </c>
      <c r="B83" s="37" t="inlineStr">
        <is>
          <t>IKI Izakaya</t>
        </is>
      </c>
      <c r="C83" s="38" t="n">
        <v>0.15</v>
      </c>
      <c r="D83" s="39" t="n">
        <v>1264.47</v>
      </c>
      <c r="E83" s="62" t="n">
        <v>1327.69</v>
      </c>
      <c r="F83" s="62" t="n">
        <v>0</v>
      </c>
      <c r="G83" s="62" t="n">
        <v>0</v>
      </c>
      <c r="H83" s="62" t="n">
        <v>0</v>
      </c>
      <c r="I83" s="62" t="n">
        <v>0</v>
      </c>
      <c r="J83" s="39">
        <f>SUM(F83:I83)</f>
        <v/>
      </c>
      <c r="K83" s="39">
        <f>J83-E83</f>
        <v/>
      </c>
      <c r="L83" s="38">
        <f>IF(E83&gt;0,J83/E83,0)</f>
        <v/>
      </c>
      <c r="M83" s="39" t="n">
        <v>294.06</v>
      </c>
      <c r="N83" s="39" t="n">
        <v>1467.55</v>
      </c>
      <c r="O83" s="63" t="inlineStr"/>
      <c r="P83" s="63" t="inlineStr"/>
    </row>
    <row r="84">
      <c r="A84" s="40" t="n">
        <v>24</v>
      </c>
      <c r="B84" s="40" t="inlineStr">
        <is>
          <t>TOSCA</t>
        </is>
      </c>
      <c r="C84" s="41" t="n">
        <v>0.2</v>
      </c>
      <c r="D84" s="42" t="n">
        <v>1252.1</v>
      </c>
      <c r="E84" s="62" t="n">
        <v>1314.7</v>
      </c>
      <c r="F84" s="62" t="n">
        <v>0</v>
      </c>
      <c r="G84" s="62" t="n">
        <v>0</v>
      </c>
      <c r="H84" s="62" t="n">
        <v>0</v>
      </c>
      <c r="I84" s="62" t="n">
        <v>0</v>
      </c>
      <c r="J84" s="42">
        <f>SUM(F84:I84)</f>
        <v/>
      </c>
      <c r="K84" s="42">
        <f>J84-E84</f>
        <v/>
      </c>
      <c r="L84" s="41">
        <f>IF(E84&gt;0,J84/E84,0)</f>
        <v/>
      </c>
      <c r="M84" s="42" t="n">
        <v>291.19</v>
      </c>
      <c r="N84" s="42" t="n">
        <v>0</v>
      </c>
      <c r="O84" s="63" t="inlineStr"/>
      <c r="P84" s="63" t="inlineStr"/>
    </row>
    <row r="85">
      <c r="A85" s="37" t="n">
        <v>25</v>
      </c>
      <c r="B85" s="37" t="inlineStr">
        <is>
          <t>Kuchnia Warszawska</t>
        </is>
      </c>
      <c r="C85" s="38" t="n">
        <v>0.18</v>
      </c>
      <c r="D85" s="39" t="n">
        <v>1140.39</v>
      </c>
      <c r="E85" s="62" t="n">
        <v>1197.41</v>
      </c>
      <c r="F85" s="62" t="n">
        <v>0</v>
      </c>
      <c r="G85" s="62" t="n">
        <v>0</v>
      </c>
      <c r="H85" s="62" t="n">
        <v>0</v>
      </c>
      <c r="I85" s="62" t="n">
        <v>0</v>
      </c>
      <c r="J85" s="39">
        <f>SUM(F85:I85)</f>
        <v/>
      </c>
      <c r="K85" s="39">
        <f>J85-E85</f>
        <v/>
      </c>
      <c r="L85" s="38">
        <f>IF(E85&gt;0,J85/E85,0)</f>
        <v/>
      </c>
      <c r="M85" s="39" t="n">
        <v>265.21</v>
      </c>
      <c r="N85" s="39" t="n">
        <v>2944.82</v>
      </c>
      <c r="O85" s="63" t="inlineStr"/>
      <c r="P85" s="63" t="inlineStr"/>
    </row>
    <row r="86">
      <c r="A86" s="40" t="n">
        <v>26</v>
      </c>
      <c r="B86" s="40" t="inlineStr">
        <is>
          <t>Panattoni Cafe</t>
        </is>
      </c>
      <c r="C86" s="41" t="n">
        <v>0.2</v>
      </c>
      <c r="D86" s="42" t="n">
        <v>1139.72</v>
      </c>
      <c r="E86" s="62" t="n">
        <v>1196.71</v>
      </c>
      <c r="F86" s="62" t="n">
        <v>0</v>
      </c>
      <c r="G86" s="62" t="n">
        <v>0</v>
      </c>
      <c r="H86" s="62" t="n">
        <v>0</v>
      </c>
      <c r="I86" s="62" t="n">
        <v>0</v>
      </c>
      <c r="J86" s="42">
        <f>SUM(F86:I86)</f>
        <v/>
      </c>
      <c r="K86" s="42">
        <f>J86-E86</f>
        <v/>
      </c>
      <c r="L86" s="41">
        <f>IF(E86&gt;0,J86/E86,0)</f>
        <v/>
      </c>
      <c r="M86" s="42" t="n">
        <v>265.05</v>
      </c>
      <c r="N86" s="42" t="n">
        <v>1580.82</v>
      </c>
      <c r="O86" s="63" t="inlineStr"/>
      <c r="P86" s="63" t="inlineStr"/>
    </row>
    <row r="87">
      <c r="A87" s="37" t="n">
        <v>27</v>
      </c>
      <c r="B87" s="37" t="inlineStr">
        <is>
          <t>Bistro Oliwa</t>
        </is>
      </c>
      <c r="C87" s="38" t="n">
        <v>0.1</v>
      </c>
      <c r="D87" s="39" t="n">
        <v>1026.16</v>
      </c>
      <c r="E87" s="62" t="n">
        <v>1077.47</v>
      </c>
      <c r="F87" s="62" t="n">
        <v>0</v>
      </c>
      <c r="G87" s="62" t="n">
        <v>0</v>
      </c>
      <c r="H87" s="62" t="n">
        <v>0</v>
      </c>
      <c r="I87" s="62" t="n">
        <v>0</v>
      </c>
      <c r="J87" s="39">
        <f>SUM(F87:I87)</f>
        <v/>
      </c>
      <c r="K87" s="39">
        <f>J87-E87</f>
        <v/>
      </c>
      <c r="L87" s="38">
        <f>IF(E87&gt;0,J87/E87,0)</f>
        <v/>
      </c>
      <c r="M87" s="39" t="n">
        <v>238.64</v>
      </c>
      <c r="N87" s="39" t="n">
        <v>0</v>
      </c>
      <c r="O87" s="63" t="inlineStr"/>
      <c r="P87" s="63" t="inlineStr"/>
    </row>
    <row r="88">
      <c r="A88" s="40" t="n">
        <v>28</v>
      </c>
      <c r="B88" s="40" t="inlineStr">
        <is>
          <t>Sushi Zushi Żurawia</t>
        </is>
      </c>
      <c r="C88" s="41" t="n">
        <v>0.15</v>
      </c>
      <c r="D88" s="42" t="n">
        <v>808.72</v>
      </c>
      <c r="E88" s="62" t="n">
        <v>849.16</v>
      </c>
      <c r="F88" s="62" t="n">
        <v>0</v>
      </c>
      <c r="G88" s="62" t="n">
        <v>0</v>
      </c>
      <c r="H88" s="62" t="n">
        <v>0</v>
      </c>
      <c r="I88" s="62" t="n">
        <v>0</v>
      </c>
      <c r="J88" s="42">
        <f>SUM(F88:I88)</f>
        <v/>
      </c>
      <c r="K88" s="42">
        <f>J88-E88</f>
        <v/>
      </c>
      <c r="L88" s="41">
        <f>IF(E88&gt;0,J88/E88,0)</f>
        <v/>
      </c>
      <c r="M88" s="42" t="n">
        <v>188.07</v>
      </c>
      <c r="N88" s="42" t="n">
        <v>3698.7</v>
      </c>
      <c r="O88" s="63" t="inlineStr"/>
      <c r="P88" s="63" t="inlineStr"/>
    </row>
    <row r="89">
      <c r="A89" s="37" t="n">
        <v>29</v>
      </c>
      <c r="B89" s="37" t="inlineStr">
        <is>
          <t>DOM OPIEKI `ANNA`</t>
        </is>
      </c>
      <c r="C89" s="38" t="n">
        <v>0.15</v>
      </c>
      <c r="D89" s="39" t="n">
        <v>800.3099999999999</v>
      </c>
      <c r="E89" s="62" t="n">
        <v>840.33</v>
      </c>
      <c r="F89" s="62" t="n">
        <v>0</v>
      </c>
      <c r="G89" s="62" t="n">
        <v>0</v>
      </c>
      <c r="H89" s="62" t="n">
        <v>0</v>
      </c>
      <c r="I89" s="62" t="n">
        <v>0</v>
      </c>
      <c r="J89" s="39">
        <f>SUM(F89:I89)</f>
        <v/>
      </c>
      <c r="K89" s="39">
        <f>J89-E89</f>
        <v/>
      </c>
      <c r="L89" s="38">
        <f>IF(E89&gt;0,J89/E89,0)</f>
        <v/>
      </c>
      <c r="M89" s="39" t="n">
        <v>186.12</v>
      </c>
      <c r="N89" s="39" t="n">
        <v>609.14</v>
      </c>
      <c r="O89" s="63" t="inlineStr"/>
      <c r="P89" s="63" t="inlineStr"/>
    </row>
    <row r="90">
      <c r="A90" s="40" t="n">
        <v>30</v>
      </c>
      <c r="B90" s="40" t="inlineStr">
        <is>
          <t>Kuma no teburu</t>
        </is>
      </c>
      <c r="C90" s="41" t="n">
        <v>0.15</v>
      </c>
      <c r="D90" s="42" t="n">
        <v>756.53</v>
      </c>
      <c r="E90" s="62" t="n">
        <v>794.36</v>
      </c>
      <c r="F90" s="62" t="n">
        <v>0</v>
      </c>
      <c r="G90" s="62" t="n">
        <v>0</v>
      </c>
      <c r="H90" s="62" t="n">
        <v>0</v>
      </c>
      <c r="I90" s="62" t="n">
        <v>0</v>
      </c>
      <c r="J90" s="42">
        <f>SUM(F90:I90)</f>
        <v/>
      </c>
      <c r="K90" s="42">
        <f>J90-E90</f>
        <v/>
      </c>
      <c r="L90" s="41">
        <f>IF(E90&gt;0,J90/E90,0)</f>
        <v/>
      </c>
      <c r="M90" s="42" t="n">
        <v>175.94</v>
      </c>
      <c r="N90" s="42" t="n">
        <v>822.29</v>
      </c>
      <c r="O90" s="63" t="inlineStr"/>
      <c r="P90" s="63" t="inlineStr"/>
    </row>
    <row r="91">
      <c r="A91" s="37" t="n">
        <v>31</v>
      </c>
      <c r="B91" s="37" t="inlineStr">
        <is>
          <t>Chocobon</t>
        </is>
      </c>
      <c r="C91" s="38" t="n">
        <v>0.3</v>
      </c>
      <c r="D91" s="39" t="n">
        <v>694.67</v>
      </c>
      <c r="E91" s="62" t="n">
        <v>729.4</v>
      </c>
      <c r="F91" s="62" t="n">
        <v>0</v>
      </c>
      <c r="G91" s="62" t="n">
        <v>0</v>
      </c>
      <c r="H91" s="62" t="n">
        <v>0</v>
      </c>
      <c r="I91" s="62" t="n">
        <v>0</v>
      </c>
      <c r="J91" s="39">
        <f>SUM(F91:I91)</f>
        <v/>
      </c>
      <c r="K91" s="39">
        <f>J91-E91</f>
        <v/>
      </c>
      <c r="L91" s="38">
        <f>IF(E91&gt;0,J91/E91,0)</f>
        <v/>
      </c>
      <c r="M91" s="39" t="n">
        <v>161.55</v>
      </c>
      <c r="N91" s="39" t="n">
        <v>2348.69</v>
      </c>
      <c r="O91" s="63" t="inlineStr"/>
      <c r="P91" s="63" t="inlineStr"/>
    </row>
    <row r="92">
      <c r="A92" s="40" t="n">
        <v>32</v>
      </c>
      <c r="B92" s="40" t="inlineStr">
        <is>
          <t>Buns and bottles bar</t>
        </is>
      </c>
      <c r="C92" s="41" t="n">
        <v>0.15</v>
      </c>
      <c r="D92" s="42" t="n">
        <v>566.42</v>
      </c>
      <c r="E92" s="62" t="n">
        <v>594.74</v>
      </c>
      <c r="F92" s="62" t="n">
        <v>0</v>
      </c>
      <c r="G92" s="62" t="n">
        <v>0</v>
      </c>
      <c r="H92" s="62" t="n">
        <v>0</v>
      </c>
      <c r="I92" s="62" t="n">
        <v>0</v>
      </c>
      <c r="J92" s="42">
        <f>SUM(F92:I92)</f>
        <v/>
      </c>
      <c r="K92" s="42">
        <f>J92-E92</f>
        <v/>
      </c>
      <c r="L92" s="41">
        <f>IF(E92&gt;0,J92/E92,0)</f>
        <v/>
      </c>
      <c r="M92" s="42" t="n">
        <v>131.73</v>
      </c>
      <c r="N92" s="42" t="n">
        <v>912.5899999999999</v>
      </c>
      <c r="O92" s="63" t="inlineStr"/>
      <c r="P92" s="63" t="inlineStr"/>
    </row>
    <row r="93">
      <c r="A93" s="37" t="n">
        <v>33</v>
      </c>
      <c r="B93" s="37" t="inlineStr">
        <is>
          <t>La Ros 2</t>
        </is>
      </c>
      <c r="C93" s="38" t="n">
        <v>0.15</v>
      </c>
      <c r="D93" s="39" t="n">
        <v>540.4</v>
      </c>
      <c r="E93" s="62" t="n">
        <v>567.42</v>
      </c>
      <c r="F93" s="62" t="n">
        <v>0</v>
      </c>
      <c r="G93" s="62" t="n">
        <v>0</v>
      </c>
      <c r="H93" s="62" t="n">
        <v>0</v>
      </c>
      <c r="I93" s="62" t="n">
        <v>0</v>
      </c>
      <c r="J93" s="39">
        <f>SUM(F93:I93)</f>
        <v/>
      </c>
      <c r="K93" s="39">
        <f>J93-E93</f>
        <v/>
      </c>
      <c r="L93" s="38">
        <f>IF(E93&gt;0,J93/E93,0)</f>
        <v/>
      </c>
      <c r="M93" s="39" t="n">
        <v>125.67</v>
      </c>
      <c r="N93" s="39" t="n">
        <v>596.0599999999999</v>
      </c>
      <c r="O93" s="63" t="inlineStr"/>
      <c r="P93" s="63" t="inlineStr"/>
    </row>
    <row r="94">
      <c r="A94" s="40" t="n">
        <v>34</v>
      </c>
      <c r="B94" s="40" t="inlineStr">
        <is>
          <t>Drukarnia GC</t>
        </is>
      </c>
      <c r="C94" s="41" t="n">
        <v>0.1</v>
      </c>
      <c r="D94" s="42" t="n">
        <v>499.2</v>
      </c>
      <c r="E94" s="62" t="n">
        <v>524.16</v>
      </c>
      <c r="F94" s="62" t="n">
        <v>0</v>
      </c>
      <c r="G94" s="62" t="n">
        <v>0</v>
      </c>
      <c r="H94" s="62" t="n">
        <v>0</v>
      </c>
      <c r="I94" s="62" t="n">
        <v>0</v>
      </c>
      <c r="J94" s="42">
        <f>SUM(F94:I94)</f>
        <v/>
      </c>
      <c r="K94" s="42">
        <f>J94-E94</f>
        <v/>
      </c>
      <c r="L94" s="41">
        <f>IF(E94&gt;0,J94/E94,0)</f>
        <v/>
      </c>
      <c r="M94" s="42" t="n">
        <v>116.09</v>
      </c>
      <c r="N94" s="42" t="n">
        <v>499.2</v>
      </c>
      <c r="O94" s="63" t="inlineStr"/>
      <c r="P94" s="63" t="inlineStr"/>
    </row>
    <row r="95">
      <c r="A95" s="37" t="n">
        <v>35</v>
      </c>
      <c r="B95" s="37" t="inlineStr">
        <is>
          <t>BURGERLAB</t>
        </is>
      </c>
      <c r="C95" s="38" t="n">
        <v>0.15</v>
      </c>
      <c r="D95" s="39" t="n">
        <v>472.97</v>
      </c>
      <c r="E95" s="62" t="n">
        <v>496.62</v>
      </c>
      <c r="F95" s="62" t="n">
        <v>0</v>
      </c>
      <c r="G95" s="62" t="n">
        <v>0</v>
      </c>
      <c r="H95" s="62" t="n">
        <v>0</v>
      </c>
      <c r="I95" s="62" t="n">
        <v>0</v>
      </c>
      <c r="J95" s="39">
        <f>SUM(F95:I95)</f>
        <v/>
      </c>
      <c r="K95" s="39">
        <f>J95-E95</f>
        <v/>
      </c>
      <c r="L95" s="38">
        <f>IF(E95&gt;0,J95/E95,0)</f>
        <v/>
      </c>
      <c r="M95" s="39" t="n">
        <v>109.99</v>
      </c>
      <c r="N95" s="39" t="n">
        <v>542.76</v>
      </c>
      <c r="O95" s="63" t="inlineStr"/>
      <c r="P95" s="63" t="inlineStr"/>
    </row>
    <row r="96">
      <c r="A96" s="40" t="n">
        <v>36</v>
      </c>
      <c r="B96" s="40" t="inlineStr">
        <is>
          <t>Liban w Szklance</t>
        </is>
      </c>
      <c r="C96" s="41" t="n">
        <v>0.2</v>
      </c>
      <c r="D96" s="42" t="n">
        <v>288.51</v>
      </c>
      <c r="E96" s="62" t="n">
        <v>302.94</v>
      </c>
      <c r="F96" s="62" t="n">
        <v>0</v>
      </c>
      <c r="G96" s="62" t="n">
        <v>0</v>
      </c>
      <c r="H96" s="62" t="n">
        <v>0</v>
      </c>
      <c r="I96" s="62" t="n">
        <v>0</v>
      </c>
      <c r="J96" s="42">
        <f>SUM(F96:I96)</f>
        <v/>
      </c>
      <c r="K96" s="42">
        <f>J96-E96</f>
        <v/>
      </c>
      <c r="L96" s="41">
        <f>IF(E96&gt;0,J96/E96,0)</f>
        <v/>
      </c>
      <c r="M96" s="42" t="n">
        <v>67.09999999999999</v>
      </c>
      <c r="N96" s="42" t="n">
        <v>246.15</v>
      </c>
      <c r="O96" s="63" t="inlineStr"/>
      <c r="P96" s="63" t="inlineStr"/>
    </row>
    <row r="97">
      <c r="A97" s="43" t="n">
        <v>37</v>
      </c>
      <c r="B97" s="43" t="inlineStr">
        <is>
          <t>SHIN SUSHI  2</t>
        </is>
      </c>
      <c r="C97" s="44" t="n">
        <v>0.15</v>
      </c>
      <c r="D97" s="45" t="n">
        <v>0</v>
      </c>
      <c r="E97" s="45" t="n">
        <v>0</v>
      </c>
      <c r="F97" s="45" t="n">
        <v>0</v>
      </c>
      <c r="G97" s="45" t="n">
        <v>0</v>
      </c>
      <c r="H97" s="45" t="n">
        <v>0</v>
      </c>
      <c r="I97" s="45" t="n">
        <v>0</v>
      </c>
      <c r="J97" s="45">
        <f>SUM(F97:I97)</f>
        <v/>
      </c>
      <c r="K97" s="45">
        <f>J97-E97</f>
        <v/>
      </c>
      <c r="L97" s="44">
        <f>IF(E97&gt;0,J97/E97,0)</f>
        <v/>
      </c>
      <c r="M97" s="45" t="n">
        <v>0</v>
      </c>
      <c r="N97" s="45" t="n">
        <v>1158.41</v>
      </c>
      <c r="O97" s="43" t="inlineStr"/>
      <c r="P97" s="43" t="inlineStr"/>
    </row>
    <row r="98">
      <c r="A98" s="43" t="n">
        <v>38</v>
      </c>
      <c r="B98" s="43" t="inlineStr">
        <is>
          <t>MOSiR Poranki i Wieczory</t>
        </is>
      </c>
      <c r="C98" s="44" t="n">
        <v>0.2</v>
      </c>
      <c r="D98" s="45" t="n">
        <v>0</v>
      </c>
      <c r="E98" s="45" t="n">
        <v>0</v>
      </c>
      <c r="F98" s="45" t="n">
        <v>0</v>
      </c>
      <c r="G98" s="45" t="n">
        <v>0</v>
      </c>
      <c r="H98" s="45" t="n">
        <v>0</v>
      </c>
      <c r="I98" s="45" t="n">
        <v>0</v>
      </c>
      <c r="J98" s="45">
        <f>SUM(F98:I98)</f>
        <v/>
      </c>
      <c r="K98" s="45">
        <f>J98-E98</f>
        <v/>
      </c>
      <c r="L98" s="44">
        <f>IF(E98&gt;0,J98/E98,0)</f>
        <v/>
      </c>
      <c r="M98" s="45" t="n">
        <v>0</v>
      </c>
      <c r="N98" s="45" t="n">
        <v>849.9400000000001</v>
      </c>
      <c r="O98" s="43" t="inlineStr"/>
      <c r="P98" s="43" t="inlineStr"/>
    </row>
    <row r="99">
      <c r="A99" s="43" t="n">
        <v>39</v>
      </c>
      <c r="B99" s="43" t="inlineStr">
        <is>
          <t>SKALO - Prosushi</t>
        </is>
      </c>
      <c r="C99" s="44" t="n">
        <v>0</v>
      </c>
      <c r="D99" s="45" t="n">
        <v>0</v>
      </c>
      <c r="E99" s="45" t="n">
        <v>0</v>
      </c>
      <c r="F99" s="45" t="n">
        <v>0</v>
      </c>
      <c r="G99" s="45" t="n">
        <v>0</v>
      </c>
      <c r="H99" s="45" t="n">
        <v>0</v>
      </c>
      <c r="I99" s="45" t="n">
        <v>0</v>
      </c>
      <c r="J99" s="45">
        <f>SUM(F99:I99)</f>
        <v/>
      </c>
      <c r="K99" s="45">
        <f>J99-E99</f>
        <v/>
      </c>
      <c r="L99" s="44">
        <f>IF(E99&gt;0,J99/E99,0)</f>
        <v/>
      </c>
      <c r="M99" s="45" t="n">
        <v>0</v>
      </c>
      <c r="N99" s="45" t="n">
        <v>0</v>
      </c>
      <c r="O99" s="43" t="inlineStr"/>
      <c r="P99" s="43" t="inlineStr"/>
    </row>
    <row r="100">
      <c r="A100" s="43" t="n">
        <v>40</v>
      </c>
      <c r="B100" s="43" t="inlineStr">
        <is>
          <t>SKALO - Buns and bottles bar</t>
        </is>
      </c>
      <c r="C100" s="44" t="n">
        <v>0</v>
      </c>
      <c r="D100" s="45" t="n">
        <v>0</v>
      </c>
      <c r="E100" s="45" t="n">
        <v>0</v>
      </c>
      <c r="F100" s="45" t="n">
        <v>0</v>
      </c>
      <c r="G100" s="45" t="n">
        <v>0</v>
      </c>
      <c r="H100" s="45" t="n">
        <v>0</v>
      </c>
      <c r="I100" s="45" t="n">
        <v>0</v>
      </c>
      <c r="J100" s="45">
        <f>SUM(F100:I100)</f>
        <v/>
      </c>
      <c r="K100" s="45">
        <f>J100-E100</f>
        <v/>
      </c>
      <c r="L100" s="44">
        <f>IF(E100&gt;0,J100/E100,0)</f>
        <v/>
      </c>
      <c r="M100" s="45" t="n">
        <v>0</v>
      </c>
      <c r="N100" s="45" t="n">
        <v>0</v>
      </c>
      <c r="O100" s="43" t="inlineStr"/>
      <c r="P100" s="43" t="inlineStr"/>
    </row>
    <row r="101">
      <c r="A101" s="43" t="n">
        <v>41</v>
      </c>
      <c r="B101" s="43" t="inlineStr">
        <is>
          <t>SKALO - Oni Izakaya</t>
        </is>
      </c>
      <c r="C101" s="44" t="n">
        <v>0</v>
      </c>
      <c r="D101" s="45" t="n">
        <v>0</v>
      </c>
      <c r="E101" s="45" t="n">
        <v>0</v>
      </c>
      <c r="F101" s="45" t="n">
        <v>0</v>
      </c>
      <c r="G101" s="45" t="n">
        <v>0</v>
      </c>
      <c r="H101" s="45" t="n">
        <v>0</v>
      </c>
      <c r="I101" s="45" t="n">
        <v>0</v>
      </c>
      <c r="J101" s="45">
        <f>SUM(F101:I101)</f>
        <v/>
      </c>
      <c r="K101" s="45">
        <f>J101-E101</f>
        <v/>
      </c>
      <c r="L101" s="44">
        <f>IF(E101&gt;0,J101/E101,0)</f>
        <v/>
      </c>
      <c r="M101" s="45" t="n">
        <v>0</v>
      </c>
      <c r="N101" s="45" t="n">
        <v>1080.05</v>
      </c>
      <c r="O101" s="43" t="inlineStr"/>
      <c r="P101" s="43" t="inlineStr"/>
    </row>
    <row r="102">
      <c r="A102" s="43" t="n">
        <v>42</v>
      </c>
      <c r="B102" s="43" t="inlineStr">
        <is>
          <t>SKALO - Park Cafe</t>
        </is>
      </c>
      <c r="C102" s="44" t="n">
        <v>0</v>
      </c>
      <c r="D102" s="45" t="n">
        <v>0</v>
      </c>
      <c r="E102" s="45" t="n">
        <v>0</v>
      </c>
      <c r="F102" s="45" t="n">
        <v>0</v>
      </c>
      <c r="G102" s="45" t="n">
        <v>0</v>
      </c>
      <c r="H102" s="45" t="n">
        <v>0</v>
      </c>
      <c r="I102" s="45" t="n">
        <v>0</v>
      </c>
      <c r="J102" s="45">
        <f>SUM(F102:I102)</f>
        <v/>
      </c>
      <c r="K102" s="45">
        <f>J102-E102</f>
        <v/>
      </c>
      <c r="L102" s="44">
        <f>IF(E102&gt;0,J102/E102,0)</f>
        <v/>
      </c>
      <c r="M102" s="45" t="n">
        <v>0</v>
      </c>
      <c r="N102" s="45" t="n">
        <v>1373.46</v>
      </c>
      <c r="O102" s="43" t="inlineStr"/>
      <c r="P102" s="43" t="inlineStr"/>
    </row>
    <row r="103">
      <c r="A103" s="43" t="n">
        <v>43</v>
      </c>
      <c r="B103" s="43" t="inlineStr">
        <is>
          <t>SKALO - Prosushi Browary</t>
        </is>
      </c>
      <c r="C103" s="44" t="n">
        <v>0</v>
      </c>
      <c r="D103" s="45" t="n">
        <v>0</v>
      </c>
      <c r="E103" s="45" t="n">
        <v>0</v>
      </c>
      <c r="F103" s="45" t="n">
        <v>0</v>
      </c>
      <c r="G103" s="45" t="n">
        <v>0</v>
      </c>
      <c r="H103" s="45" t="n">
        <v>0</v>
      </c>
      <c r="I103" s="45" t="n">
        <v>0</v>
      </c>
      <c r="J103" s="45">
        <f>SUM(F103:I103)</f>
        <v/>
      </c>
      <c r="K103" s="45">
        <f>J103-E103</f>
        <v/>
      </c>
      <c r="L103" s="44">
        <f>IF(E103&gt;0,J103/E103,0)</f>
        <v/>
      </c>
      <c r="M103" s="45" t="n">
        <v>0</v>
      </c>
      <c r="N103" s="45" t="n">
        <v>0</v>
      </c>
      <c r="O103" s="43" t="inlineStr"/>
      <c r="P103" s="43" t="inlineStr"/>
    </row>
    <row r="104">
      <c r="A104" s="64" t="n"/>
      <c r="B104" s="28" t="inlineStr">
        <is>
          <t>RAZEM STANDARD MAGDA</t>
        </is>
      </c>
      <c r="C104" s="65" t="n"/>
      <c r="D104" s="66">
        <f>SUM(D61:D103)</f>
        <v/>
      </c>
      <c r="E104" s="66">
        <f>SUM(E61:E103)</f>
        <v/>
      </c>
      <c r="F104" s="66">
        <f>SUM(F61:F103)</f>
        <v/>
      </c>
      <c r="G104" s="66">
        <f>SUM(G61:G103)</f>
        <v/>
      </c>
      <c r="H104" s="66">
        <f>SUM(H61:H103)</f>
        <v/>
      </c>
      <c r="I104" s="66">
        <f>SUM(I61:I103)</f>
        <v/>
      </c>
      <c r="J104" s="66">
        <f>SUM(J61:J103)</f>
        <v/>
      </c>
      <c r="K104" s="66">
        <f>SUM(K61:K103)</f>
        <v/>
      </c>
      <c r="L104" s="67">
        <f>IF(E104&gt;0,J104/E104,0)</f>
        <v/>
      </c>
      <c r="M104" s="68" t="n"/>
      <c r="N104" s="66">
        <f>SUM(N61:N103)</f>
        <v/>
      </c>
      <c r="O104" s="64" t="n"/>
      <c r="P104" s="64" t="n"/>
    </row>
    <row r="106">
      <c r="A106" s="73" t="inlineStr">
        <is>
          <t>WERYFIKACJA - ZOSTANĄ</t>
        </is>
      </c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</row>
    <row r="107">
      <c r="A107" s="54" t="inlineStr">
        <is>
          <t>Poz.</t>
        </is>
      </c>
      <c r="B107" s="54" t="inlineStr">
        <is>
          <t>Klient</t>
        </is>
      </c>
      <c r="C107" s="54" t="inlineStr">
        <is>
          <t>Rabat%</t>
        </is>
      </c>
      <c r="D107" s="54" t="inlineStr">
        <is>
          <t>Sprzedaż
Sty 26</t>
        </is>
      </c>
      <c r="E107" s="54" t="inlineStr">
        <is>
          <t>CEL Luty 26
(Sty +5%)</t>
        </is>
      </c>
      <c r="F107" s="54" t="inlineStr">
        <is>
          <t>Tydz 1
(02-08)</t>
        </is>
      </c>
      <c r="G107" s="54" t="inlineStr">
        <is>
          <t>Tydz 2
(09-15)</t>
        </is>
      </c>
      <c r="H107" s="54" t="inlineStr">
        <is>
          <t>Tydz 3
(16-22)</t>
        </is>
      </c>
      <c r="I107" s="54" t="inlineStr">
        <is>
          <t>Tydz 4
(23-28)</t>
        </is>
      </c>
      <c r="J107" s="54" t="inlineStr">
        <is>
          <t>SUMA
Realizacja</t>
        </is>
      </c>
      <c r="K107" s="54" t="inlineStr">
        <is>
          <t>Różnica
vs CEL</t>
        </is>
      </c>
      <c r="L107" s="54" t="inlineStr">
        <is>
          <t>% Real.</t>
        </is>
      </c>
      <c r="M107" s="54" t="inlineStr">
        <is>
          <t>Śr. Tyg.
Sty 26</t>
        </is>
      </c>
      <c r="N107" s="54" t="inlineStr">
        <is>
          <t>Sprzedaż
Gru 25</t>
        </is>
      </c>
      <c r="O107" s="54" t="inlineStr">
        <is>
          <t>Notatki</t>
        </is>
      </c>
      <c r="P107" s="54" t="inlineStr">
        <is>
          <t>Status</t>
        </is>
      </c>
    </row>
    <row r="108">
      <c r="A108" s="37" t="n">
        <v>1</v>
      </c>
      <c r="B108" s="37" t="inlineStr">
        <is>
          <t>Just like you</t>
        </is>
      </c>
      <c r="C108" s="38" t="n">
        <v>0.2</v>
      </c>
      <c r="D108" s="39" t="n">
        <v>2172.59</v>
      </c>
      <c r="E108" s="62" t="n">
        <v>2281.22</v>
      </c>
      <c r="F108" s="62" t="n">
        <v>0</v>
      </c>
      <c r="G108" s="62" t="n">
        <v>0</v>
      </c>
      <c r="H108" s="62" t="n">
        <v>0</v>
      </c>
      <c r="I108" s="62" t="n">
        <v>0</v>
      </c>
      <c r="J108" s="39">
        <f>SUM(F108:I108)</f>
        <v/>
      </c>
      <c r="K108" s="39">
        <f>J108-E108</f>
        <v/>
      </c>
      <c r="L108" s="38">
        <f>IF(E108&gt;0,J108/E108,0)</f>
        <v/>
      </c>
      <c r="M108" s="39" t="n">
        <v>505.25</v>
      </c>
      <c r="N108" s="39" t="n">
        <v>2076.1</v>
      </c>
      <c r="O108" s="63" t="inlineStr"/>
      <c r="P108" s="63" t="inlineStr"/>
    </row>
    <row r="109">
      <c r="A109" s="40" t="n">
        <v>2</v>
      </c>
      <c r="B109" s="40" t="inlineStr">
        <is>
          <t>Ti Amo Tratoria</t>
        </is>
      </c>
      <c r="C109" s="41" t="n">
        <v>0.2</v>
      </c>
      <c r="D109" s="42" t="n">
        <v>2030.88</v>
      </c>
      <c r="E109" s="62" t="n">
        <v>2132.42</v>
      </c>
      <c r="F109" s="62" t="n">
        <v>0</v>
      </c>
      <c r="G109" s="62" t="n">
        <v>0</v>
      </c>
      <c r="H109" s="62" t="n">
        <v>0</v>
      </c>
      <c r="I109" s="62" t="n">
        <v>0</v>
      </c>
      <c r="J109" s="42">
        <f>SUM(F109:I109)</f>
        <v/>
      </c>
      <c r="K109" s="42">
        <f>J109-E109</f>
        <v/>
      </c>
      <c r="L109" s="41">
        <f>IF(E109&gt;0,J109/E109,0)</f>
        <v/>
      </c>
      <c r="M109" s="42" t="n">
        <v>472.3</v>
      </c>
      <c r="N109" s="42" t="n">
        <v>2634.96</v>
      </c>
      <c r="O109" s="63" t="inlineStr"/>
      <c r="P109" s="63" t="inlineStr"/>
    </row>
    <row r="110">
      <c r="A110" s="37" t="n">
        <v>3</v>
      </c>
      <c r="B110" s="37" t="inlineStr">
        <is>
          <t>Sushi Mango 2</t>
        </is>
      </c>
      <c r="C110" s="38" t="n">
        <v>0.2</v>
      </c>
      <c r="D110" s="39" t="n">
        <v>1994.88</v>
      </c>
      <c r="E110" s="62" t="n">
        <v>2094.62</v>
      </c>
      <c r="F110" s="62" t="n">
        <v>0</v>
      </c>
      <c r="G110" s="62" t="n">
        <v>0</v>
      </c>
      <c r="H110" s="62" t="n">
        <v>0</v>
      </c>
      <c r="I110" s="62" t="n">
        <v>0</v>
      </c>
      <c r="J110" s="39">
        <f>SUM(F110:I110)</f>
        <v/>
      </c>
      <c r="K110" s="39">
        <f>J110-E110</f>
        <v/>
      </c>
      <c r="L110" s="38">
        <f>IF(E110&gt;0,J110/E110,0)</f>
        <v/>
      </c>
      <c r="M110" s="39" t="n">
        <v>463.93</v>
      </c>
      <c r="N110" s="39" t="n">
        <v>1526.14</v>
      </c>
      <c r="O110" s="63" t="inlineStr"/>
      <c r="P110" s="63" t="inlineStr"/>
    </row>
    <row r="111">
      <c r="A111" s="40" t="n">
        <v>4</v>
      </c>
      <c r="B111" s="40" t="inlineStr">
        <is>
          <t>Ach Cafe</t>
        </is>
      </c>
      <c r="C111" s="41" t="n">
        <v>0.2</v>
      </c>
      <c r="D111" s="42" t="n">
        <v>1817.39</v>
      </c>
      <c r="E111" s="62" t="n">
        <v>1908.26</v>
      </c>
      <c r="F111" s="62" t="n">
        <v>0</v>
      </c>
      <c r="G111" s="62" t="n">
        <v>0</v>
      </c>
      <c r="H111" s="62" t="n">
        <v>0</v>
      </c>
      <c r="I111" s="62" t="n">
        <v>0</v>
      </c>
      <c r="J111" s="42">
        <f>SUM(F111:I111)</f>
        <v/>
      </c>
      <c r="K111" s="42">
        <f>J111-E111</f>
        <v/>
      </c>
      <c r="L111" s="41">
        <f>IF(E111&gt;0,J111/E111,0)</f>
        <v/>
      </c>
      <c r="M111" s="42" t="n">
        <v>422.65</v>
      </c>
      <c r="N111" s="42" t="n">
        <v>1830.96</v>
      </c>
      <c r="O111" s="63" t="inlineStr"/>
      <c r="P111" s="63" t="inlineStr"/>
    </row>
    <row r="112">
      <c r="A112" s="37" t="n">
        <v>5</v>
      </c>
      <c r="B112" s="37" t="inlineStr">
        <is>
          <t>Śledzie z Bornholmu</t>
        </is>
      </c>
      <c r="C112" s="38" t="n">
        <v>0.1</v>
      </c>
      <c r="D112" s="39" t="n">
        <v>1636.49</v>
      </c>
      <c r="E112" s="62" t="n">
        <v>1718.31</v>
      </c>
      <c r="F112" s="62" t="n">
        <v>0</v>
      </c>
      <c r="G112" s="62" t="n">
        <v>0</v>
      </c>
      <c r="H112" s="62" t="n">
        <v>0</v>
      </c>
      <c r="I112" s="62" t="n">
        <v>0</v>
      </c>
      <c r="J112" s="39">
        <f>SUM(F112:I112)</f>
        <v/>
      </c>
      <c r="K112" s="39">
        <f>J112-E112</f>
        <v/>
      </c>
      <c r="L112" s="38">
        <f>IF(E112&gt;0,J112/E112,0)</f>
        <v/>
      </c>
      <c r="M112" s="39" t="n">
        <v>380.58</v>
      </c>
      <c r="N112" s="39" t="n">
        <v>2392.99</v>
      </c>
      <c r="O112" s="63" t="inlineStr"/>
      <c r="P112" s="63" t="inlineStr"/>
    </row>
    <row r="113">
      <c r="A113" s="40" t="n">
        <v>6</v>
      </c>
      <c r="B113" s="40" t="inlineStr">
        <is>
          <t>Sklep Medyczny</t>
        </is>
      </c>
      <c r="C113" s="41" t="n">
        <v>0.18</v>
      </c>
      <c r="D113" s="42" t="n">
        <v>1514.46</v>
      </c>
      <c r="E113" s="62" t="n">
        <v>1590.18</v>
      </c>
      <c r="F113" s="62" t="n">
        <v>0</v>
      </c>
      <c r="G113" s="62" t="n">
        <v>0</v>
      </c>
      <c r="H113" s="62" t="n">
        <v>0</v>
      </c>
      <c r="I113" s="62" t="n">
        <v>0</v>
      </c>
      <c r="J113" s="42">
        <f>SUM(F113:I113)</f>
        <v/>
      </c>
      <c r="K113" s="42">
        <f>J113-E113</f>
        <v/>
      </c>
      <c r="L113" s="41">
        <f>IF(E113&gt;0,J113/E113,0)</f>
        <v/>
      </c>
      <c r="M113" s="42" t="n">
        <v>352.2</v>
      </c>
      <c r="N113" s="42" t="n">
        <v>638.11</v>
      </c>
      <c r="O113" s="63" t="inlineStr"/>
      <c r="P113" s="63" t="inlineStr"/>
    </row>
    <row r="114">
      <c r="A114" s="37" t="n">
        <v>7</v>
      </c>
      <c r="B114" s="37" t="inlineStr">
        <is>
          <t>Manna</t>
        </is>
      </c>
      <c r="C114" s="38" t="n">
        <v>0.18</v>
      </c>
      <c r="D114" s="39" t="n">
        <v>1447.49</v>
      </c>
      <c r="E114" s="62" t="n">
        <v>1519.86</v>
      </c>
      <c r="F114" s="62" t="n">
        <v>0</v>
      </c>
      <c r="G114" s="62" t="n">
        <v>0</v>
      </c>
      <c r="H114" s="62" t="n">
        <v>0</v>
      </c>
      <c r="I114" s="62" t="n">
        <v>0</v>
      </c>
      <c r="J114" s="39">
        <f>SUM(F114:I114)</f>
        <v/>
      </c>
      <c r="K114" s="39">
        <f>J114-E114</f>
        <v/>
      </c>
      <c r="L114" s="38">
        <f>IF(E114&gt;0,J114/E114,0)</f>
        <v/>
      </c>
      <c r="M114" s="39" t="n">
        <v>336.63</v>
      </c>
      <c r="N114" s="39" t="n">
        <v>2470.49</v>
      </c>
      <c r="O114" s="63" t="inlineStr"/>
      <c r="P114" s="63" t="inlineStr"/>
    </row>
    <row r="115">
      <c r="A115" s="40" t="n">
        <v>8</v>
      </c>
      <c r="B115" s="40" t="inlineStr">
        <is>
          <t>Szaurmafia</t>
        </is>
      </c>
      <c r="C115" s="41" t="n">
        <v>0.15</v>
      </c>
      <c r="D115" s="42" t="n">
        <v>1290.28</v>
      </c>
      <c r="E115" s="62" t="n">
        <v>1354.79</v>
      </c>
      <c r="F115" s="62" t="n">
        <v>0</v>
      </c>
      <c r="G115" s="62" t="n">
        <v>0</v>
      </c>
      <c r="H115" s="62" t="n">
        <v>0</v>
      </c>
      <c r="I115" s="62" t="n">
        <v>0</v>
      </c>
      <c r="J115" s="42">
        <f>SUM(F115:I115)</f>
        <v/>
      </c>
      <c r="K115" s="42">
        <f>J115-E115</f>
        <v/>
      </c>
      <c r="L115" s="41">
        <f>IF(E115&gt;0,J115/E115,0)</f>
        <v/>
      </c>
      <c r="M115" s="42" t="n">
        <v>300.07</v>
      </c>
      <c r="N115" s="42" t="n">
        <v>1229.26</v>
      </c>
      <c r="O115" s="63" t="inlineStr"/>
      <c r="P115" s="63" t="inlineStr"/>
    </row>
    <row r="116">
      <c r="A116" s="37" t="n">
        <v>9</v>
      </c>
      <c r="B116" s="37" t="inlineStr">
        <is>
          <t>SKALO - Prime WALICÓW</t>
        </is>
      </c>
      <c r="C116" s="38" t="n">
        <v>0.1</v>
      </c>
      <c r="D116" s="39" t="n">
        <v>1274.29</v>
      </c>
      <c r="E116" s="62" t="n">
        <v>1338</v>
      </c>
      <c r="F116" s="62" t="n">
        <v>0</v>
      </c>
      <c r="G116" s="62" t="n">
        <v>0</v>
      </c>
      <c r="H116" s="62" t="n">
        <v>0</v>
      </c>
      <c r="I116" s="62" t="n">
        <v>0</v>
      </c>
      <c r="J116" s="39">
        <f>SUM(F116:I116)</f>
        <v/>
      </c>
      <c r="K116" s="39">
        <f>J116-E116</f>
        <v/>
      </c>
      <c r="L116" s="38">
        <f>IF(E116&gt;0,J116/E116,0)</f>
        <v/>
      </c>
      <c r="M116" s="39" t="n">
        <v>296.35</v>
      </c>
      <c r="N116" s="39" t="n">
        <v>3671.19</v>
      </c>
      <c r="O116" s="63" t="inlineStr"/>
      <c r="P116" s="63" t="inlineStr"/>
    </row>
    <row r="117">
      <c r="A117" s="40" t="n">
        <v>10</v>
      </c>
      <c r="B117" s="40" t="inlineStr">
        <is>
          <t>Atelier Stylissimo</t>
        </is>
      </c>
      <c r="C117" s="41" t="n">
        <v>0.15</v>
      </c>
      <c r="D117" s="42" t="n">
        <v>1263.15</v>
      </c>
      <c r="E117" s="62" t="n">
        <v>1326.31</v>
      </c>
      <c r="F117" s="62" t="n">
        <v>0</v>
      </c>
      <c r="G117" s="62" t="n">
        <v>0</v>
      </c>
      <c r="H117" s="62" t="n">
        <v>0</v>
      </c>
      <c r="I117" s="62" t="n">
        <v>0</v>
      </c>
      <c r="J117" s="42">
        <f>SUM(F117:I117)</f>
        <v/>
      </c>
      <c r="K117" s="42">
        <f>J117-E117</f>
        <v/>
      </c>
      <c r="L117" s="41">
        <f>IF(E117&gt;0,J117/E117,0)</f>
        <v/>
      </c>
      <c r="M117" s="42" t="n">
        <v>293.76</v>
      </c>
      <c r="N117" s="42" t="n">
        <v>1587.42</v>
      </c>
      <c r="O117" s="63" t="inlineStr"/>
      <c r="P117" s="63" t="inlineStr"/>
    </row>
    <row r="118">
      <c r="A118" s="37" t="n">
        <v>11</v>
      </c>
      <c r="B118" s="37" t="inlineStr">
        <is>
          <t>LANS SIENNA</t>
        </is>
      </c>
      <c r="C118" s="38" t="n">
        <v>0.15</v>
      </c>
      <c r="D118" s="39" t="n">
        <v>1254.05</v>
      </c>
      <c r="E118" s="62" t="n">
        <v>1316.75</v>
      </c>
      <c r="F118" s="62" t="n">
        <v>0</v>
      </c>
      <c r="G118" s="62" t="n">
        <v>0</v>
      </c>
      <c r="H118" s="62" t="n">
        <v>0</v>
      </c>
      <c r="I118" s="62" t="n">
        <v>0</v>
      </c>
      <c r="J118" s="39">
        <f>SUM(F118:I118)</f>
        <v/>
      </c>
      <c r="K118" s="39">
        <f>J118-E118</f>
        <v/>
      </c>
      <c r="L118" s="38">
        <f>IF(E118&gt;0,J118/E118,0)</f>
        <v/>
      </c>
      <c r="M118" s="39" t="n">
        <v>291.64</v>
      </c>
      <c r="N118" s="39" t="n">
        <v>512.6799999999999</v>
      </c>
      <c r="O118" s="63" t="inlineStr"/>
      <c r="P118" s="63" t="inlineStr"/>
    </row>
    <row r="119">
      <c r="A119" s="40" t="n">
        <v>12</v>
      </c>
      <c r="B119" s="40" t="inlineStr">
        <is>
          <t>No Tu Olideli</t>
        </is>
      </c>
      <c r="C119" s="41" t="n">
        <v>0.1</v>
      </c>
      <c r="D119" s="42" t="n">
        <v>1207.1</v>
      </c>
      <c r="E119" s="62" t="n">
        <v>1267.45</v>
      </c>
      <c r="F119" s="62" t="n">
        <v>0</v>
      </c>
      <c r="G119" s="62" t="n">
        <v>0</v>
      </c>
      <c r="H119" s="62" t="n">
        <v>0</v>
      </c>
      <c r="I119" s="62" t="n">
        <v>0</v>
      </c>
      <c r="J119" s="42">
        <f>SUM(F119:I119)</f>
        <v/>
      </c>
      <c r="K119" s="42">
        <f>J119-E119</f>
        <v/>
      </c>
      <c r="L119" s="41">
        <f>IF(E119&gt;0,J119/E119,0)</f>
        <v/>
      </c>
      <c r="M119" s="42" t="n">
        <v>280.72</v>
      </c>
      <c r="N119" s="42" t="n">
        <v>1821.77</v>
      </c>
      <c r="O119" s="63" t="inlineStr"/>
      <c r="P119" s="63" t="inlineStr"/>
    </row>
    <row r="120">
      <c r="A120" s="37" t="n">
        <v>13</v>
      </c>
      <c r="B120" s="37" t="inlineStr">
        <is>
          <t>SKALO - Prime MOKOTÓW</t>
        </is>
      </c>
      <c r="C120" s="38" t="n">
        <v>0.1</v>
      </c>
      <c r="D120" s="39" t="n">
        <v>1145.59</v>
      </c>
      <c r="E120" s="62" t="n">
        <v>1202.87</v>
      </c>
      <c r="F120" s="62" t="n">
        <v>0</v>
      </c>
      <c r="G120" s="62" t="n">
        <v>0</v>
      </c>
      <c r="H120" s="62" t="n">
        <v>0</v>
      </c>
      <c r="I120" s="62" t="n">
        <v>0</v>
      </c>
      <c r="J120" s="39">
        <f>SUM(F120:I120)</f>
        <v/>
      </c>
      <c r="K120" s="39">
        <f>J120-E120</f>
        <v/>
      </c>
      <c r="L120" s="38">
        <f>IF(E120&gt;0,J120/E120,0)</f>
        <v/>
      </c>
      <c r="M120" s="39" t="n">
        <v>266.42</v>
      </c>
      <c r="N120" s="39" t="n">
        <v>747.74</v>
      </c>
      <c r="O120" s="63" t="inlineStr"/>
      <c r="P120" s="63" t="inlineStr"/>
    </row>
    <row r="121">
      <c r="A121" s="40" t="n">
        <v>14</v>
      </c>
      <c r="B121" s="40" t="inlineStr">
        <is>
          <t>W Kropki Bordo</t>
        </is>
      </c>
      <c r="C121" s="41" t="n">
        <v>0.23</v>
      </c>
      <c r="D121" s="42" t="n">
        <v>1080.53</v>
      </c>
      <c r="E121" s="62" t="n">
        <v>1134.56</v>
      </c>
      <c r="F121" s="62" t="n">
        <v>0</v>
      </c>
      <c r="G121" s="62" t="n">
        <v>0</v>
      </c>
      <c r="H121" s="62" t="n">
        <v>0</v>
      </c>
      <c r="I121" s="62" t="n">
        <v>0</v>
      </c>
      <c r="J121" s="42">
        <f>SUM(F121:I121)</f>
        <v/>
      </c>
      <c r="K121" s="42">
        <f>J121-E121</f>
        <v/>
      </c>
      <c r="L121" s="41">
        <f>IF(E121&gt;0,J121/E121,0)</f>
        <v/>
      </c>
      <c r="M121" s="42" t="n">
        <v>251.29</v>
      </c>
      <c r="N121" s="42" t="n">
        <v>1309.37</v>
      </c>
      <c r="O121" s="63" t="inlineStr"/>
      <c r="P121" s="63" t="inlineStr"/>
    </row>
    <row r="122">
      <c r="A122" s="37" t="n">
        <v>15</v>
      </c>
      <c r="B122" s="37" t="inlineStr">
        <is>
          <t>SERDECZNY BAR MLECZNY</t>
        </is>
      </c>
      <c r="C122" s="38" t="n">
        <v>0.18</v>
      </c>
      <c r="D122" s="39" t="n">
        <v>1046.94</v>
      </c>
      <c r="E122" s="62" t="n">
        <v>1099.29</v>
      </c>
      <c r="F122" s="62" t="n">
        <v>0</v>
      </c>
      <c r="G122" s="62" t="n">
        <v>0</v>
      </c>
      <c r="H122" s="62" t="n">
        <v>0</v>
      </c>
      <c r="I122" s="62" t="n">
        <v>0</v>
      </c>
      <c r="J122" s="39">
        <f>SUM(F122:I122)</f>
        <v/>
      </c>
      <c r="K122" s="39">
        <f>J122-E122</f>
        <v/>
      </c>
      <c r="L122" s="38">
        <f>IF(E122&gt;0,J122/E122,0)</f>
        <v/>
      </c>
      <c r="M122" s="39" t="n">
        <v>243.47</v>
      </c>
      <c r="N122" s="39" t="n">
        <v>1738.96</v>
      </c>
      <c r="O122" s="63" t="inlineStr"/>
      <c r="P122" s="63" t="inlineStr"/>
    </row>
    <row r="123">
      <c r="A123" s="40" t="n">
        <v>16</v>
      </c>
      <c r="B123" s="40" t="inlineStr">
        <is>
          <t>Cafe Jagiel</t>
        </is>
      </c>
      <c r="C123" s="41" t="n">
        <v>0.15</v>
      </c>
      <c r="D123" s="42" t="n">
        <v>990.92</v>
      </c>
      <c r="E123" s="62" t="n">
        <v>1040.47</v>
      </c>
      <c r="F123" s="62" t="n">
        <v>0</v>
      </c>
      <c r="G123" s="62" t="n">
        <v>0</v>
      </c>
      <c r="H123" s="62" t="n">
        <v>0</v>
      </c>
      <c r="I123" s="62" t="n">
        <v>0</v>
      </c>
      <c r="J123" s="42">
        <f>SUM(F123:I123)</f>
        <v/>
      </c>
      <c r="K123" s="42">
        <f>J123-E123</f>
        <v/>
      </c>
      <c r="L123" s="41">
        <f>IF(E123&gt;0,J123/E123,0)</f>
        <v/>
      </c>
      <c r="M123" s="42" t="n">
        <v>230.45</v>
      </c>
      <c r="N123" s="42" t="n">
        <v>1119.88</v>
      </c>
      <c r="O123" s="63" t="inlineStr"/>
      <c r="P123" s="63" t="inlineStr"/>
    </row>
    <row r="124">
      <c r="A124" s="37" t="n">
        <v>17</v>
      </c>
      <c r="B124" s="37" t="inlineStr">
        <is>
          <t>LOsteria</t>
        </is>
      </c>
      <c r="C124" s="38" t="n">
        <v>0.15</v>
      </c>
      <c r="D124" s="39" t="n">
        <v>972.36</v>
      </c>
      <c r="E124" s="62" t="n">
        <v>1020.98</v>
      </c>
      <c r="F124" s="62" t="n">
        <v>0</v>
      </c>
      <c r="G124" s="62" t="n">
        <v>0</v>
      </c>
      <c r="H124" s="62" t="n">
        <v>0</v>
      </c>
      <c r="I124" s="62" t="n">
        <v>0</v>
      </c>
      <c r="J124" s="39">
        <f>SUM(F124:I124)</f>
        <v/>
      </c>
      <c r="K124" s="39">
        <f>J124-E124</f>
        <v/>
      </c>
      <c r="L124" s="38">
        <f>IF(E124&gt;0,J124/E124,0)</f>
        <v/>
      </c>
      <c r="M124" s="39" t="n">
        <v>226.13</v>
      </c>
      <c r="N124" s="39" t="n">
        <v>2276.53</v>
      </c>
      <c r="O124" s="63" t="inlineStr"/>
      <c r="P124" s="63" t="inlineStr"/>
    </row>
    <row r="125">
      <c r="A125" s="40" t="n">
        <v>18</v>
      </c>
      <c r="B125" s="40" t="inlineStr">
        <is>
          <t>DIFFERENT</t>
        </is>
      </c>
      <c r="C125" s="41" t="n">
        <v>0.18</v>
      </c>
      <c r="D125" s="42" t="n">
        <v>877.15</v>
      </c>
      <c r="E125" s="62" t="n">
        <v>921.01</v>
      </c>
      <c r="F125" s="62" t="n">
        <v>0</v>
      </c>
      <c r="G125" s="62" t="n">
        <v>0</v>
      </c>
      <c r="H125" s="62" t="n">
        <v>0</v>
      </c>
      <c r="I125" s="62" t="n">
        <v>0</v>
      </c>
      <c r="J125" s="42">
        <f>SUM(F125:I125)</f>
        <v/>
      </c>
      <c r="K125" s="42">
        <f>J125-E125</f>
        <v/>
      </c>
      <c r="L125" s="41">
        <f>IF(E125&gt;0,J125/E125,0)</f>
        <v/>
      </c>
      <c r="M125" s="42" t="n">
        <v>203.99</v>
      </c>
      <c r="N125" s="42" t="n">
        <v>1123.03</v>
      </c>
      <c r="O125" s="63" t="inlineStr"/>
      <c r="P125" s="63" t="inlineStr"/>
    </row>
    <row r="126">
      <c r="A126" s="37" t="n">
        <v>19</v>
      </c>
      <c r="B126" s="37" t="inlineStr">
        <is>
          <t>AGLI AMICI 2</t>
        </is>
      </c>
      <c r="C126" s="38" t="n">
        <v>0.15</v>
      </c>
      <c r="D126" s="39" t="n">
        <v>801.61</v>
      </c>
      <c r="E126" s="62" t="n">
        <v>841.6900000000001</v>
      </c>
      <c r="F126" s="62" t="n">
        <v>0</v>
      </c>
      <c r="G126" s="62" t="n">
        <v>0</v>
      </c>
      <c r="H126" s="62" t="n">
        <v>0</v>
      </c>
      <c r="I126" s="62" t="n">
        <v>0</v>
      </c>
      <c r="J126" s="39">
        <f>SUM(F126:I126)</f>
        <v/>
      </c>
      <c r="K126" s="39">
        <f>J126-E126</f>
        <v/>
      </c>
      <c r="L126" s="38">
        <f>IF(E126&gt;0,J126/E126,0)</f>
        <v/>
      </c>
      <c r="M126" s="39" t="n">
        <v>186.42</v>
      </c>
      <c r="N126" s="39" t="n">
        <v>2557.29</v>
      </c>
      <c r="O126" s="63" t="inlineStr"/>
      <c r="P126" s="63" t="inlineStr"/>
    </row>
    <row r="127">
      <c r="A127" s="40" t="n">
        <v>20</v>
      </c>
      <c r="B127" s="40" t="inlineStr">
        <is>
          <t>Kubicz Salon fryzjerski</t>
        </is>
      </c>
      <c r="C127" s="41" t="n">
        <v>0.1</v>
      </c>
      <c r="D127" s="42" t="n">
        <v>745.05</v>
      </c>
      <c r="E127" s="62" t="n">
        <v>782.3</v>
      </c>
      <c r="F127" s="62" t="n">
        <v>0</v>
      </c>
      <c r="G127" s="62" t="n">
        <v>0</v>
      </c>
      <c r="H127" s="62" t="n">
        <v>0</v>
      </c>
      <c r="I127" s="62" t="n">
        <v>0</v>
      </c>
      <c r="J127" s="42">
        <f>SUM(F127:I127)</f>
        <v/>
      </c>
      <c r="K127" s="42">
        <f>J127-E127</f>
        <v/>
      </c>
      <c r="L127" s="41">
        <f>IF(E127&gt;0,J127/E127,0)</f>
        <v/>
      </c>
      <c r="M127" s="42" t="n">
        <v>173.27</v>
      </c>
      <c r="N127" s="42" t="n">
        <v>736.96</v>
      </c>
      <c r="O127" s="63" t="inlineStr"/>
      <c r="P127" s="63" t="inlineStr"/>
    </row>
    <row r="128">
      <c r="A128" s="37" t="n">
        <v>21</v>
      </c>
      <c r="B128" s="37" t="inlineStr">
        <is>
          <t xml:space="preserve">Tomasz Łagowski </t>
        </is>
      </c>
      <c r="C128" s="38" t="n">
        <v>0.18</v>
      </c>
      <c r="D128" s="39" t="n">
        <v>617.59</v>
      </c>
      <c r="E128" s="62" t="n">
        <v>648.47</v>
      </c>
      <c r="F128" s="62" t="n">
        <v>0</v>
      </c>
      <c r="G128" s="62" t="n">
        <v>0</v>
      </c>
      <c r="H128" s="62" t="n">
        <v>0</v>
      </c>
      <c r="I128" s="62" t="n">
        <v>0</v>
      </c>
      <c r="J128" s="39">
        <f>SUM(F128:I128)</f>
        <v/>
      </c>
      <c r="K128" s="39">
        <f>J128-E128</f>
        <v/>
      </c>
      <c r="L128" s="38">
        <f>IF(E128&gt;0,J128/E128,0)</f>
        <v/>
      </c>
      <c r="M128" s="39" t="n">
        <v>143.63</v>
      </c>
      <c r="N128" s="39" t="n">
        <v>796.3199999999999</v>
      </c>
      <c r="O128" s="63" t="inlineStr"/>
      <c r="P128" s="63" t="inlineStr"/>
    </row>
    <row r="129">
      <c r="A129" s="40" t="n">
        <v>22</v>
      </c>
      <c r="B129" s="40" t="inlineStr">
        <is>
          <t>GAMAGYM</t>
        </is>
      </c>
      <c r="C129" s="41" t="n">
        <v>0.18</v>
      </c>
      <c r="D129" s="42" t="n">
        <v>359.56</v>
      </c>
      <c r="E129" s="62" t="n">
        <v>377.54</v>
      </c>
      <c r="F129" s="62" t="n">
        <v>0</v>
      </c>
      <c r="G129" s="62" t="n">
        <v>0</v>
      </c>
      <c r="H129" s="62" t="n">
        <v>0</v>
      </c>
      <c r="I129" s="62" t="n">
        <v>0</v>
      </c>
      <c r="J129" s="42">
        <f>SUM(F129:I129)</f>
        <v/>
      </c>
      <c r="K129" s="42">
        <f>J129-E129</f>
        <v/>
      </c>
      <c r="L129" s="41">
        <f>IF(E129&gt;0,J129/E129,0)</f>
        <v/>
      </c>
      <c r="M129" s="42" t="n">
        <v>83.62</v>
      </c>
      <c r="N129" s="42" t="n">
        <v>535.17</v>
      </c>
      <c r="O129" s="63" t="inlineStr"/>
      <c r="P129" s="63" t="inlineStr"/>
    </row>
    <row r="130">
      <c r="A130" s="37" t="n">
        <v>23</v>
      </c>
      <c r="B130" s="37" t="inlineStr">
        <is>
          <t>Kardamon</t>
        </is>
      </c>
      <c r="C130" s="38" t="n">
        <v>0.18</v>
      </c>
      <c r="D130" s="39" t="n">
        <v>326.84</v>
      </c>
      <c r="E130" s="62" t="n">
        <v>343.18</v>
      </c>
      <c r="F130" s="62" t="n">
        <v>0</v>
      </c>
      <c r="G130" s="62" t="n">
        <v>0</v>
      </c>
      <c r="H130" s="62" t="n">
        <v>0</v>
      </c>
      <c r="I130" s="62" t="n">
        <v>0</v>
      </c>
      <c r="J130" s="39">
        <f>SUM(F130:I130)</f>
        <v/>
      </c>
      <c r="K130" s="39">
        <f>J130-E130</f>
        <v/>
      </c>
      <c r="L130" s="38">
        <f>IF(E130&gt;0,J130/E130,0)</f>
        <v/>
      </c>
      <c r="M130" s="39" t="n">
        <v>76.01000000000001</v>
      </c>
      <c r="N130" s="39" t="n">
        <v>470.51</v>
      </c>
      <c r="O130" s="63" t="inlineStr"/>
      <c r="P130" s="63" t="inlineStr"/>
    </row>
    <row r="131">
      <c r="A131" s="43" t="n">
        <v>24</v>
      </c>
      <c r="B131" s="43" t="inlineStr">
        <is>
          <t xml:space="preserve">TRUE STORY </t>
        </is>
      </c>
      <c r="C131" s="44" t="n">
        <v>0.15</v>
      </c>
      <c r="D131" s="45" t="n">
        <v>0</v>
      </c>
      <c r="E131" s="45" t="n">
        <v>0</v>
      </c>
      <c r="F131" s="45" t="n">
        <v>0</v>
      </c>
      <c r="G131" s="45" t="n">
        <v>0</v>
      </c>
      <c r="H131" s="45" t="n">
        <v>0</v>
      </c>
      <c r="I131" s="45" t="n">
        <v>0</v>
      </c>
      <c r="J131" s="45">
        <f>SUM(F131:I131)</f>
        <v/>
      </c>
      <c r="K131" s="45">
        <f>J131-E131</f>
        <v/>
      </c>
      <c r="L131" s="44">
        <f>IF(E131&gt;0,J131/E131,0)</f>
        <v/>
      </c>
      <c r="M131" s="45" t="n">
        <v>0</v>
      </c>
      <c r="N131" s="45" t="n">
        <v>0</v>
      </c>
      <c r="O131" s="43" t="inlineStr"/>
      <c r="P131" s="43" t="inlineStr"/>
    </row>
    <row r="132">
      <c r="A132" s="43" t="n">
        <v>25</v>
      </c>
      <c r="B132" s="43" t="inlineStr">
        <is>
          <t>EWNS</t>
        </is>
      </c>
      <c r="C132" s="44" t="n">
        <v>0.25</v>
      </c>
      <c r="D132" s="45" t="n">
        <v>0</v>
      </c>
      <c r="E132" s="45" t="n">
        <v>0</v>
      </c>
      <c r="F132" s="45" t="n">
        <v>0</v>
      </c>
      <c r="G132" s="45" t="n">
        <v>0</v>
      </c>
      <c r="H132" s="45" t="n">
        <v>0</v>
      </c>
      <c r="I132" s="45" t="n">
        <v>0</v>
      </c>
      <c r="J132" s="45">
        <f>SUM(F132:I132)</f>
        <v/>
      </c>
      <c r="K132" s="45">
        <f>J132-E132</f>
        <v/>
      </c>
      <c r="L132" s="44">
        <f>IF(E132&gt;0,J132/E132,0)</f>
        <v/>
      </c>
      <c r="M132" s="45" t="n">
        <v>0</v>
      </c>
      <c r="N132" s="45" t="n">
        <v>415.72</v>
      </c>
      <c r="O132" s="43" t="inlineStr"/>
      <c r="P132" s="43" t="inlineStr"/>
    </row>
    <row r="133">
      <c r="A133" s="43" t="n">
        <v>26</v>
      </c>
      <c r="B133" s="43" t="inlineStr">
        <is>
          <t>Wery Sweet</t>
        </is>
      </c>
      <c r="C133" s="44" t="n">
        <v>0.1</v>
      </c>
      <c r="D133" s="45" t="n">
        <v>0</v>
      </c>
      <c r="E133" s="45" t="n">
        <v>0</v>
      </c>
      <c r="F133" s="45" t="n">
        <v>0</v>
      </c>
      <c r="G133" s="45" t="n">
        <v>0</v>
      </c>
      <c r="H133" s="45" t="n">
        <v>0</v>
      </c>
      <c r="I133" s="45" t="n">
        <v>0</v>
      </c>
      <c r="J133" s="45">
        <f>SUM(F133:I133)</f>
        <v/>
      </c>
      <c r="K133" s="45">
        <f>J133-E133</f>
        <v/>
      </c>
      <c r="L133" s="44">
        <f>IF(E133&gt;0,J133/E133,0)</f>
        <v/>
      </c>
      <c r="M133" s="45" t="n">
        <v>0</v>
      </c>
      <c r="N133" s="45" t="n">
        <v>0</v>
      </c>
      <c r="O133" s="43" t="inlineStr"/>
      <c r="P133" s="43" t="inlineStr"/>
    </row>
    <row r="134">
      <c r="A134" s="43" t="n">
        <v>27</v>
      </c>
      <c r="B134" s="43" t="inlineStr">
        <is>
          <t>SKALO - Ten Sushi</t>
        </is>
      </c>
      <c r="C134" s="44" t="n">
        <v>0</v>
      </c>
      <c r="D134" s="45" t="n">
        <v>0</v>
      </c>
      <c r="E134" s="45" t="n">
        <v>0</v>
      </c>
      <c r="F134" s="45" t="n">
        <v>0</v>
      </c>
      <c r="G134" s="45" t="n">
        <v>0</v>
      </c>
      <c r="H134" s="45" t="n">
        <v>0</v>
      </c>
      <c r="I134" s="45" t="n">
        <v>0</v>
      </c>
      <c r="J134" s="45">
        <f>SUM(F134:I134)</f>
        <v/>
      </c>
      <c r="K134" s="45">
        <f>J134-E134</f>
        <v/>
      </c>
      <c r="L134" s="44">
        <f>IF(E134&gt;0,J134/E134,0)</f>
        <v/>
      </c>
      <c r="M134" s="45" t="n">
        <v>0</v>
      </c>
      <c r="N134" s="45" t="n">
        <v>0</v>
      </c>
      <c r="O134" s="43" t="inlineStr"/>
      <c r="P134" s="43" t="inlineStr"/>
    </row>
    <row r="135">
      <c r="A135" s="43" t="n">
        <v>28</v>
      </c>
      <c r="B135" s="43" t="inlineStr">
        <is>
          <t xml:space="preserve">Gmina Konstancin-Jeziorna  </t>
        </is>
      </c>
      <c r="C135" s="44" t="n">
        <v>0.15</v>
      </c>
      <c r="D135" s="45" t="n">
        <v>0</v>
      </c>
      <c r="E135" s="45" t="n">
        <v>0</v>
      </c>
      <c r="F135" s="45" t="n">
        <v>0</v>
      </c>
      <c r="G135" s="45" t="n">
        <v>0</v>
      </c>
      <c r="H135" s="45" t="n">
        <v>0</v>
      </c>
      <c r="I135" s="45" t="n">
        <v>0</v>
      </c>
      <c r="J135" s="45">
        <f>SUM(F135:I135)</f>
        <v/>
      </c>
      <c r="K135" s="45">
        <f>J135-E135</f>
        <v/>
      </c>
      <c r="L135" s="44">
        <f>IF(E135&gt;0,J135/E135,0)</f>
        <v/>
      </c>
      <c r="M135" s="45" t="n">
        <v>0</v>
      </c>
      <c r="N135" s="45" t="n">
        <v>0</v>
      </c>
      <c r="O135" s="43" t="inlineStr"/>
      <c r="P135" s="43" t="inlineStr"/>
    </row>
    <row r="136">
      <c r="A136" s="43" t="n">
        <v>29</v>
      </c>
      <c r="B136" s="43" t="inlineStr">
        <is>
          <t>SKALO - Tsuma Sushi</t>
        </is>
      </c>
      <c r="C136" s="44" t="n">
        <v>0.2</v>
      </c>
      <c r="D136" s="45" t="n">
        <v>0</v>
      </c>
      <c r="E136" s="45" t="n">
        <v>0</v>
      </c>
      <c r="F136" s="45" t="n">
        <v>0</v>
      </c>
      <c r="G136" s="45" t="n">
        <v>0</v>
      </c>
      <c r="H136" s="45" t="n">
        <v>0</v>
      </c>
      <c r="I136" s="45" t="n">
        <v>0</v>
      </c>
      <c r="J136" s="45">
        <f>SUM(F136:I136)</f>
        <v/>
      </c>
      <c r="K136" s="45">
        <f>J136-E136</f>
        <v/>
      </c>
      <c r="L136" s="44">
        <f>IF(E136&gt;0,J136/E136,0)</f>
        <v/>
      </c>
      <c r="M136" s="45" t="n">
        <v>0</v>
      </c>
      <c r="N136" s="45" t="n">
        <v>396.77</v>
      </c>
      <c r="O136" s="43" t="inlineStr"/>
      <c r="P136" s="43" t="inlineStr"/>
    </row>
    <row r="137">
      <c r="A137" s="43" t="n">
        <v>30</v>
      </c>
      <c r="B137" s="43" t="inlineStr">
        <is>
          <t>Tsuma Sushi</t>
        </is>
      </c>
      <c r="C137" s="44" t="n">
        <v>0.2</v>
      </c>
      <c r="D137" s="45" t="n">
        <v>0</v>
      </c>
      <c r="E137" s="45" t="n">
        <v>0</v>
      </c>
      <c r="F137" s="45" t="n">
        <v>0</v>
      </c>
      <c r="G137" s="45" t="n">
        <v>0</v>
      </c>
      <c r="H137" s="45" t="n">
        <v>0</v>
      </c>
      <c r="I137" s="45" t="n">
        <v>0</v>
      </c>
      <c r="J137" s="45">
        <f>SUM(F137:I137)</f>
        <v/>
      </c>
      <c r="K137" s="45">
        <f>J137-E137</f>
        <v/>
      </c>
      <c r="L137" s="44">
        <f>IF(E137&gt;0,J137/E137,0)</f>
        <v/>
      </c>
      <c r="M137" s="45" t="n">
        <v>0</v>
      </c>
      <c r="N137" s="45" t="n">
        <v>391.38</v>
      </c>
      <c r="O137" s="43" t="inlineStr"/>
      <c r="P137" s="43" t="inlineStr"/>
    </row>
    <row r="138">
      <c r="A138" s="64" t="n"/>
      <c r="B138" s="28" t="inlineStr">
        <is>
          <t>RAZEM WERYFIKACJA - ZOSTANĄ</t>
        </is>
      </c>
      <c r="C138" s="65" t="n"/>
      <c r="D138" s="66">
        <f>SUM(D108:D137)</f>
        <v/>
      </c>
      <c r="E138" s="66">
        <f>SUM(E108:E137)</f>
        <v/>
      </c>
      <c r="F138" s="66">
        <f>SUM(F108:F137)</f>
        <v/>
      </c>
      <c r="G138" s="66">
        <f>SUM(G108:G137)</f>
        <v/>
      </c>
      <c r="H138" s="66">
        <f>SUM(H108:H137)</f>
        <v/>
      </c>
      <c r="I138" s="66">
        <f>SUM(I108:I137)</f>
        <v/>
      </c>
      <c r="J138" s="66">
        <f>SUM(J108:J137)</f>
        <v/>
      </c>
      <c r="K138" s="66">
        <f>SUM(K108:K137)</f>
        <v/>
      </c>
      <c r="L138" s="67">
        <f>IF(E138&gt;0,J138/E138,0)</f>
        <v/>
      </c>
      <c r="M138" s="68" t="n"/>
      <c r="N138" s="66">
        <f>SUM(N108:N137)</f>
        <v/>
      </c>
      <c r="O138" s="64" t="n"/>
      <c r="P138" s="64" t="n"/>
    </row>
    <row r="140">
      <c r="A140" s="75" t="inlineStr">
        <is>
          <t>WERYFIKACJA - ODEJDĄ</t>
        </is>
      </c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</row>
    <row r="141">
      <c r="A141" s="56" t="inlineStr">
        <is>
          <t>Poz.</t>
        </is>
      </c>
      <c r="B141" s="56" t="inlineStr">
        <is>
          <t>Klient</t>
        </is>
      </c>
      <c r="C141" s="56" t="inlineStr">
        <is>
          <t>Rabat%</t>
        </is>
      </c>
      <c r="D141" s="56" t="inlineStr">
        <is>
          <t>Sprzedaż
Sty 26</t>
        </is>
      </c>
      <c r="E141" s="56" t="inlineStr">
        <is>
          <t>CEL Luty 26
(Sty +5%)</t>
        </is>
      </c>
      <c r="F141" s="56" t="inlineStr">
        <is>
          <t>Tydz 1
(02-08)</t>
        </is>
      </c>
      <c r="G141" s="56" t="inlineStr">
        <is>
          <t>Tydz 2
(09-15)</t>
        </is>
      </c>
      <c r="H141" s="56" t="inlineStr">
        <is>
          <t>Tydz 3
(16-22)</t>
        </is>
      </c>
      <c r="I141" s="56" t="inlineStr">
        <is>
          <t>Tydz 4
(23-28)</t>
        </is>
      </c>
      <c r="J141" s="56" t="inlineStr">
        <is>
          <t>SUMA
Realizacja</t>
        </is>
      </c>
      <c r="K141" s="56" t="inlineStr">
        <is>
          <t>Różnica
vs CEL</t>
        </is>
      </c>
      <c r="L141" s="56" t="inlineStr">
        <is>
          <t>% Real.</t>
        </is>
      </c>
      <c r="M141" s="56" t="inlineStr">
        <is>
          <t>Śr. Tyg.
Sty 26</t>
        </is>
      </c>
      <c r="N141" s="56" t="inlineStr">
        <is>
          <t>Sprzedaż
Gru 25</t>
        </is>
      </c>
      <c r="O141" s="56" t="inlineStr">
        <is>
          <t>Notatki</t>
        </is>
      </c>
      <c r="P141" s="56" t="inlineStr">
        <is>
          <t>Status</t>
        </is>
      </c>
    </row>
    <row r="142">
      <c r="A142" s="37" t="n">
        <v>1</v>
      </c>
      <c r="B142" s="37" t="inlineStr">
        <is>
          <t>Bishops Bistro</t>
        </is>
      </c>
      <c r="C142" s="38" t="n">
        <v>0.2</v>
      </c>
      <c r="D142" s="39" t="n">
        <v>2922.61</v>
      </c>
      <c r="E142" s="62" t="n">
        <v>3068.74</v>
      </c>
      <c r="F142" s="62" t="n">
        <v>0</v>
      </c>
      <c r="G142" s="62" t="n">
        <v>0</v>
      </c>
      <c r="H142" s="62" t="n">
        <v>0</v>
      </c>
      <c r="I142" s="62" t="n">
        <v>0</v>
      </c>
      <c r="J142" s="39">
        <f>SUM(F142:I142)</f>
        <v/>
      </c>
      <c r="K142" s="39">
        <f>J142-E142</f>
        <v/>
      </c>
      <c r="L142" s="38">
        <f>IF(E142&gt;0,J142/E142,0)</f>
        <v/>
      </c>
      <c r="M142" s="39" t="n">
        <v>679.6799999999999</v>
      </c>
      <c r="N142" s="39" t="n">
        <v>2902.05</v>
      </c>
      <c r="O142" s="63" t="inlineStr"/>
      <c r="P142" s="63" t="inlineStr"/>
    </row>
    <row r="143">
      <c r="A143" s="40" t="n">
        <v>2</v>
      </c>
      <c r="B143" s="40" t="inlineStr">
        <is>
          <t>Akashia Sushi</t>
        </is>
      </c>
      <c r="C143" s="41" t="n">
        <v>0.15</v>
      </c>
      <c r="D143" s="42" t="n">
        <v>1437.54</v>
      </c>
      <c r="E143" s="62" t="n">
        <v>1509.42</v>
      </c>
      <c r="F143" s="62" t="n">
        <v>0</v>
      </c>
      <c r="G143" s="62" t="n">
        <v>0</v>
      </c>
      <c r="H143" s="62" t="n">
        <v>0</v>
      </c>
      <c r="I143" s="62" t="n">
        <v>0</v>
      </c>
      <c r="J143" s="42">
        <f>SUM(F143:I143)</f>
        <v/>
      </c>
      <c r="K143" s="42">
        <f>J143-E143</f>
        <v/>
      </c>
      <c r="L143" s="41">
        <f>IF(E143&gt;0,J143/E143,0)</f>
        <v/>
      </c>
      <c r="M143" s="42" t="n">
        <v>334.31</v>
      </c>
      <c r="N143" s="42" t="n">
        <v>3267.43</v>
      </c>
      <c r="O143" s="63" t="inlineStr"/>
      <c r="P143" s="63" t="inlineStr"/>
    </row>
    <row r="144">
      <c r="A144" s="37" t="n">
        <v>3</v>
      </c>
      <c r="B144" s="37" t="inlineStr">
        <is>
          <t>Nakama Izakaya</t>
        </is>
      </c>
      <c r="C144" s="38" t="n">
        <v>0.15</v>
      </c>
      <c r="D144" s="39" t="n">
        <v>1423.11</v>
      </c>
      <c r="E144" s="62" t="n">
        <v>1494.27</v>
      </c>
      <c r="F144" s="62" t="n">
        <v>0</v>
      </c>
      <c r="G144" s="62" t="n">
        <v>0</v>
      </c>
      <c r="H144" s="62" t="n">
        <v>0</v>
      </c>
      <c r="I144" s="62" t="n">
        <v>0</v>
      </c>
      <c r="J144" s="39">
        <f>SUM(F144:I144)</f>
        <v/>
      </c>
      <c r="K144" s="39">
        <f>J144-E144</f>
        <v/>
      </c>
      <c r="L144" s="38">
        <f>IF(E144&gt;0,J144/E144,0)</f>
        <v/>
      </c>
      <c r="M144" s="39" t="n">
        <v>330.96</v>
      </c>
      <c r="N144" s="39" t="n">
        <v>1360.94</v>
      </c>
      <c r="O144" s="63" t="inlineStr"/>
      <c r="P144" s="63" t="inlineStr"/>
    </row>
    <row r="145">
      <c r="A145" s="40" t="n">
        <v>4</v>
      </c>
      <c r="B145" s="40" t="inlineStr">
        <is>
          <t>Świetlica</t>
        </is>
      </c>
      <c r="C145" s="41" t="n">
        <v>0.1</v>
      </c>
      <c r="D145" s="42" t="n">
        <v>956.42</v>
      </c>
      <c r="E145" s="62" t="n">
        <v>1004.24</v>
      </c>
      <c r="F145" s="62" t="n">
        <v>0</v>
      </c>
      <c r="G145" s="62" t="n">
        <v>0</v>
      </c>
      <c r="H145" s="62" t="n">
        <v>0</v>
      </c>
      <c r="I145" s="62" t="n">
        <v>0</v>
      </c>
      <c r="J145" s="42">
        <f>SUM(F145:I145)</f>
        <v/>
      </c>
      <c r="K145" s="42">
        <f>J145-E145</f>
        <v/>
      </c>
      <c r="L145" s="41">
        <f>IF(E145&gt;0,J145/E145,0)</f>
        <v/>
      </c>
      <c r="M145" s="42" t="n">
        <v>222.42</v>
      </c>
      <c r="N145" s="42" t="n">
        <v>986.91</v>
      </c>
      <c r="O145" s="63" t="inlineStr"/>
      <c r="P145" s="63" t="inlineStr"/>
    </row>
    <row r="146">
      <c r="A146" s="37" t="n">
        <v>5</v>
      </c>
      <c r="B146" s="37" t="inlineStr">
        <is>
          <t>Iguana AFICIONADO</t>
        </is>
      </c>
      <c r="C146" s="38" t="n">
        <v>0.1</v>
      </c>
      <c r="D146" s="39" t="n">
        <v>866.46</v>
      </c>
      <c r="E146" s="62" t="n">
        <v>909.78</v>
      </c>
      <c r="F146" s="62" t="n">
        <v>0</v>
      </c>
      <c r="G146" s="62" t="n">
        <v>0</v>
      </c>
      <c r="H146" s="62" t="n">
        <v>0</v>
      </c>
      <c r="I146" s="62" t="n">
        <v>0</v>
      </c>
      <c r="J146" s="39">
        <f>SUM(F146:I146)</f>
        <v/>
      </c>
      <c r="K146" s="39">
        <f>J146-E146</f>
        <v/>
      </c>
      <c r="L146" s="38">
        <f>IF(E146&gt;0,J146/E146,0)</f>
        <v/>
      </c>
      <c r="M146" s="39" t="n">
        <v>201.5</v>
      </c>
      <c r="N146" s="39" t="n">
        <v>0</v>
      </c>
      <c r="O146" s="63" t="inlineStr"/>
      <c r="P146" s="63" t="inlineStr"/>
    </row>
    <row r="147">
      <c r="A147" s="40" t="n">
        <v>6</v>
      </c>
      <c r="B147" s="40" t="inlineStr">
        <is>
          <t>Sushi Point 2</t>
        </is>
      </c>
      <c r="C147" s="41" t="n">
        <v>0.1</v>
      </c>
      <c r="D147" s="42" t="n">
        <v>736.84</v>
      </c>
      <c r="E147" s="62" t="n">
        <v>773.6799999999999</v>
      </c>
      <c r="F147" s="62" t="n">
        <v>0</v>
      </c>
      <c r="G147" s="62" t="n">
        <v>0</v>
      </c>
      <c r="H147" s="62" t="n">
        <v>0</v>
      </c>
      <c r="I147" s="62" t="n">
        <v>0</v>
      </c>
      <c r="J147" s="42">
        <f>SUM(F147:I147)</f>
        <v/>
      </c>
      <c r="K147" s="42">
        <f>J147-E147</f>
        <v/>
      </c>
      <c r="L147" s="41">
        <f>IF(E147&gt;0,J147/E147,0)</f>
        <v/>
      </c>
      <c r="M147" s="42" t="n">
        <v>171.36</v>
      </c>
      <c r="N147" s="42" t="n">
        <v>1323.1</v>
      </c>
      <c r="O147" s="63" t="inlineStr"/>
      <c r="P147" s="63" t="inlineStr"/>
    </row>
    <row r="148">
      <c r="A148" s="37" t="n">
        <v>7</v>
      </c>
      <c r="B148" s="37" t="inlineStr">
        <is>
          <t>IGUANA Cigarro</t>
        </is>
      </c>
      <c r="C148" s="38" t="n">
        <v>0.1</v>
      </c>
      <c r="D148" s="39" t="n">
        <v>585.65</v>
      </c>
      <c r="E148" s="62" t="n">
        <v>614.9299999999999</v>
      </c>
      <c r="F148" s="62" t="n">
        <v>0</v>
      </c>
      <c r="G148" s="62" t="n">
        <v>0</v>
      </c>
      <c r="H148" s="62" t="n">
        <v>0</v>
      </c>
      <c r="I148" s="62" t="n">
        <v>0</v>
      </c>
      <c r="J148" s="39">
        <f>SUM(F148:I148)</f>
        <v/>
      </c>
      <c r="K148" s="39">
        <f>J148-E148</f>
        <v/>
      </c>
      <c r="L148" s="38">
        <f>IF(E148&gt;0,J148/E148,0)</f>
        <v/>
      </c>
      <c r="M148" s="39" t="n">
        <v>136.2</v>
      </c>
      <c r="N148" s="39" t="n">
        <v>536.9299999999999</v>
      </c>
      <c r="O148" s="63" t="inlineStr"/>
      <c r="P148" s="63" t="inlineStr"/>
    </row>
    <row r="149">
      <c r="A149" s="40" t="n">
        <v>8</v>
      </c>
      <c r="B149" s="40" t="inlineStr">
        <is>
          <t>Sushi Flow</t>
        </is>
      </c>
      <c r="C149" s="41" t="n">
        <v>0.15</v>
      </c>
      <c r="D149" s="42" t="n">
        <v>534.9</v>
      </c>
      <c r="E149" s="62" t="n">
        <v>561.64</v>
      </c>
      <c r="F149" s="62" t="n">
        <v>0</v>
      </c>
      <c r="G149" s="62" t="n">
        <v>0</v>
      </c>
      <c r="H149" s="62" t="n">
        <v>0</v>
      </c>
      <c r="I149" s="62" t="n">
        <v>0</v>
      </c>
      <c r="J149" s="42">
        <f>SUM(F149:I149)</f>
        <v/>
      </c>
      <c r="K149" s="42">
        <f>J149-E149</f>
        <v/>
      </c>
      <c r="L149" s="41">
        <f>IF(E149&gt;0,J149/E149,0)</f>
        <v/>
      </c>
      <c r="M149" s="42" t="n">
        <v>124.4</v>
      </c>
      <c r="N149" s="42" t="n">
        <v>654.92</v>
      </c>
      <c r="O149" s="63" t="inlineStr"/>
      <c r="P149" s="63" t="inlineStr"/>
    </row>
    <row r="150">
      <c r="A150" s="37" t="n">
        <v>9</v>
      </c>
      <c r="B150" s="37" t="inlineStr">
        <is>
          <t>IGUANA Gdańsk</t>
        </is>
      </c>
      <c r="C150" s="38" t="n">
        <v>0.1</v>
      </c>
      <c r="D150" s="39" t="n">
        <v>470.33</v>
      </c>
      <c r="E150" s="62" t="n">
        <v>493.85</v>
      </c>
      <c r="F150" s="62" t="n">
        <v>0</v>
      </c>
      <c r="G150" s="62" t="n">
        <v>0</v>
      </c>
      <c r="H150" s="62" t="n">
        <v>0</v>
      </c>
      <c r="I150" s="62" t="n">
        <v>0</v>
      </c>
      <c r="J150" s="39">
        <f>SUM(F150:I150)</f>
        <v/>
      </c>
      <c r="K150" s="39">
        <f>J150-E150</f>
        <v/>
      </c>
      <c r="L150" s="38">
        <f>IF(E150&gt;0,J150/E150,0)</f>
        <v/>
      </c>
      <c r="M150" s="39" t="n">
        <v>109.38</v>
      </c>
      <c r="N150" s="39" t="n">
        <v>1024.21</v>
      </c>
      <c r="O150" s="63" t="inlineStr"/>
      <c r="P150" s="63" t="inlineStr"/>
    </row>
    <row r="151">
      <c r="A151" s="40" t="n">
        <v>10</v>
      </c>
      <c r="B151" s="40" t="inlineStr">
        <is>
          <t>Sake Izakaya</t>
        </is>
      </c>
      <c r="C151" s="41" t="n">
        <v>0.1</v>
      </c>
      <c r="D151" s="42" t="n">
        <v>362.66</v>
      </c>
      <c r="E151" s="62" t="n">
        <v>380.79</v>
      </c>
      <c r="F151" s="62" t="n">
        <v>0</v>
      </c>
      <c r="G151" s="62" t="n">
        <v>0</v>
      </c>
      <c r="H151" s="62" t="n">
        <v>0</v>
      </c>
      <c r="I151" s="62" t="n">
        <v>0</v>
      </c>
      <c r="J151" s="42">
        <f>SUM(F151:I151)</f>
        <v/>
      </c>
      <c r="K151" s="42">
        <f>J151-E151</f>
        <v/>
      </c>
      <c r="L151" s="41">
        <f>IF(E151&gt;0,J151/E151,0)</f>
        <v/>
      </c>
      <c r="M151" s="42" t="n">
        <v>84.34</v>
      </c>
      <c r="N151" s="42" t="n">
        <v>663.86</v>
      </c>
      <c r="O151" s="63" t="inlineStr"/>
      <c r="P151" s="63" t="inlineStr"/>
    </row>
    <row r="152">
      <c r="A152" s="37" t="n">
        <v>11</v>
      </c>
      <c r="B152" s="37" t="inlineStr">
        <is>
          <t>PrimeCut</t>
        </is>
      </c>
      <c r="C152" s="38" t="n">
        <v>0.1</v>
      </c>
      <c r="D152" s="39" t="n">
        <v>280.4</v>
      </c>
      <c r="E152" s="62" t="n">
        <v>294.42</v>
      </c>
      <c r="F152" s="62" t="n">
        <v>0</v>
      </c>
      <c r="G152" s="62" t="n">
        <v>0</v>
      </c>
      <c r="H152" s="62" t="n">
        <v>0</v>
      </c>
      <c r="I152" s="62" t="n">
        <v>0</v>
      </c>
      <c r="J152" s="39">
        <f>SUM(F152:I152)</f>
        <v/>
      </c>
      <c r="K152" s="39">
        <f>J152-E152</f>
        <v/>
      </c>
      <c r="L152" s="38">
        <f>IF(E152&gt;0,J152/E152,0)</f>
        <v/>
      </c>
      <c r="M152" s="39" t="n">
        <v>65.20999999999999</v>
      </c>
      <c r="N152" s="39" t="n">
        <v>960.6</v>
      </c>
      <c r="O152" s="63" t="inlineStr"/>
      <c r="P152" s="63" t="inlineStr"/>
    </row>
    <row r="153">
      <c r="A153" s="40" t="n">
        <v>12</v>
      </c>
      <c r="B153" s="40" t="inlineStr">
        <is>
          <t>SUSHI 101</t>
        </is>
      </c>
      <c r="C153" s="41" t="n">
        <v>0.15</v>
      </c>
      <c r="D153" s="42" t="n">
        <v>258.79</v>
      </c>
      <c r="E153" s="62" t="n">
        <v>271.73</v>
      </c>
      <c r="F153" s="62" t="n">
        <v>0</v>
      </c>
      <c r="G153" s="62" t="n">
        <v>0</v>
      </c>
      <c r="H153" s="62" t="n">
        <v>0</v>
      </c>
      <c r="I153" s="62" t="n">
        <v>0</v>
      </c>
      <c r="J153" s="42">
        <f>SUM(F153:I153)</f>
        <v/>
      </c>
      <c r="K153" s="42">
        <f>J153-E153</f>
        <v/>
      </c>
      <c r="L153" s="41">
        <f>IF(E153&gt;0,J153/E153,0)</f>
        <v/>
      </c>
      <c r="M153" s="42" t="n">
        <v>60.18</v>
      </c>
      <c r="N153" s="42" t="n">
        <v>528.89</v>
      </c>
      <c r="O153" s="63" t="inlineStr"/>
      <c r="P153" s="63" t="inlineStr"/>
    </row>
    <row r="154">
      <c r="A154" s="43" t="n">
        <v>13</v>
      </c>
      <c r="B154" s="43" t="inlineStr">
        <is>
          <t>JOT Żoliborz</t>
        </is>
      </c>
      <c r="C154" s="44" t="n">
        <v>0</v>
      </c>
      <c r="D154" s="45" t="n">
        <v>0</v>
      </c>
      <c r="E154" s="45" t="n">
        <v>0</v>
      </c>
      <c r="F154" s="45" t="n">
        <v>0</v>
      </c>
      <c r="G154" s="45" t="n">
        <v>0</v>
      </c>
      <c r="H154" s="45" t="n">
        <v>0</v>
      </c>
      <c r="I154" s="45" t="n">
        <v>0</v>
      </c>
      <c r="J154" s="45">
        <f>SUM(F154:I154)</f>
        <v/>
      </c>
      <c r="K154" s="45">
        <f>J154-E154</f>
        <v/>
      </c>
      <c r="L154" s="44">
        <f>IF(E154&gt;0,J154/E154,0)</f>
        <v/>
      </c>
      <c r="M154" s="45" t="n">
        <v>0</v>
      </c>
      <c r="N154" s="45" t="n">
        <v>0</v>
      </c>
      <c r="O154" s="43" t="inlineStr"/>
      <c r="P154" s="43" t="inlineStr"/>
    </row>
    <row r="155">
      <c r="A155" s="43" t="n">
        <v>14</v>
      </c>
      <c r="B155" s="43" t="inlineStr">
        <is>
          <t>Ten Sushi 2</t>
        </is>
      </c>
      <c r="C155" s="44" t="n">
        <v>0.15</v>
      </c>
      <c r="D155" s="45" t="n">
        <v>0</v>
      </c>
      <c r="E155" s="45" t="n">
        <v>0</v>
      </c>
      <c r="F155" s="45" t="n">
        <v>0</v>
      </c>
      <c r="G155" s="45" t="n">
        <v>0</v>
      </c>
      <c r="H155" s="45" t="n">
        <v>0</v>
      </c>
      <c r="I155" s="45" t="n">
        <v>0</v>
      </c>
      <c r="J155" s="45">
        <f>SUM(F155:I155)</f>
        <v/>
      </c>
      <c r="K155" s="45">
        <f>J155-E155</f>
        <v/>
      </c>
      <c r="L155" s="44">
        <f>IF(E155&gt;0,J155/E155,0)</f>
        <v/>
      </c>
      <c r="M155" s="45" t="n">
        <v>0</v>
      </c>
      <c r="N155" s="45" t="n">
        <v>0</v>
      </c>
      <c r="O155" s="43" t="inlineStr"/>
      <c r="P155" s="43" t="inlineStr"/>
    </row>
    <row r="156">
      <c r="A156" s="43" t="n">
        <v>15</v>
      </c>
      <c r="B156" s="43" t="inlineStr">
        <is>
          <t>The Morning After</t>
        </is>
      </c>
      <c r="C156" s="44" t="n">
        <v>0.18</v>
      </c>
      <c r="D156" s="45" t="n">
        <v>0</v>
      </c>
      <c r="E156" s="45" t="n">
        <v>0</v>
      </c>
      <c r="F156" s="45" t="n">
        <v>0</v>
      </c>
      <c r="G156" s="45" t="n">
        <v>0</v>
      </c>
      <c r="H156" s="45" t="n">
        <v>0</v>
      </c>
      <c r="I156" s="45" t="n">
        <v>0</v>
      </c>
      <c r="J156" s="45">
        <f>SUM(F156:I156)</f>
        <v/>
      </c>
      <c r="K156" s="45">
        <f>J156-E156</f>
        <v/>
      </c>
      <c r="L156" s="44">
        <f>IF(E156&gt;0,J156/E156,0)</f>
        <v/>
      </c>
      <c r="M156" s="45" t="n">
        <v>0</v>
      </c>
      <c r="N156" s="45" t="n">
        <v>0</v>
      </c>
      <c r="O156" s="43" t="inlineStr"/>
      <c r="P156" s="43" t="inlineStr"/>
    </row>
    <row r="157">
      <c r="A157" s="43" t="n">
        <v>16</v>
      </c>
      <c r="B157" s="43" t="inlineStr">
        <is>
          <t>GiGi Bar</t>
        </is>
      </c>
      <c r="C157" s="44" t="n">
        <v>0.18</v>
      </c>
      <c r="D157" s="45" t="n">
        <v>0</v>
      </c>
      <c r="E157" s="45" t="n">
        <v>0</v>
      </c>
      <c r="F157" s="45" t="n">
        <v>0</v>
      </c>
      <c r="G157" s="45" t="n">
        <v>0</v>
      </c>
      <c r="H157" s="45" t="n">
        <v>0</v>
      </c>
      <c r="I157" s="45" t="n">
        <v>0</v>
      </c>
      <c r="J157" s="45">
        <f>SUM(F157:I157)</f>
        <v/>
      </c>
      <c r="K157" s="45">
        <f>J157-E157</f>
        <v/>
      </c>
      <c r="L157" s="44">
        <f>IF(E157&gt;0,J157/E157,0)</f>
        <v/>
      </c>
      <c r="M157" s="45" t="n">
        <v>0</v>
      </c>
      <c r="N157" s="45" t="n">
        <v>0</v>
      </c>
      <c r="O157" s="43" t="inlineStr"/>
      <c r="P157" s="43" t="inlineStr"/>
    </row>
    <row r="158">
      <c r="A158" s="43" t="n">
        <v>17</v>
      </c>
      <c r="B158" s="43" t="inlineStr">
        <is>
          <t>Magu Sushi</t>
        </is>
      </c>
      <c r="C158" s="44" t="n">
        <v>0.2</v>
      </c>
      <c r="D158" s="45" t="n">
        <v>0</v>
      </c>
      <c r="E158" s="45" t="n">
        <v>0</v>
      </c>
      <c r="F158" s="45" t="n">
        <v>0</v>
      </c>
      <c r="G158" s="45" t="n">
        <v>0</v>
      </c>
      <c r="H158" s="45" t="n">
        <v>0</v>
      </c>
      <c r="I158" s="45" t="n">
        <v>0</v>
      </c>
      <c r="J158" s="45">
        <f>SUM(F158:I158)</f>
        <v/>
      </c>
      <c r="K158" s="45">
        <f>J158-E158</f>
        <v/>
      </c>
      <c r="L158" s="44">
        <f>IF(E158&gt;0,J158/E158,0)</f>
        <v/>
      </c>
      <c r="M158" s="45" t="n">
        <v>0</v>
      </c>
      <c r="N158" s="45" t="n">
        <v>0</v>
      </c>
      <c r="O158" s="43" t="inlineStr"/>
      <c r="P158" s="43" t="inlineStr"/>
    </row>
    <row r="159">
      <c r="A159" s="43" t="n">
        <v>18</v>
      </c>
      <c r="B159" s="43" t="inlineStr">
        <is>
          <t>Sushi Atelier</t>
        </is>
      </c>
      <c r="C159" s="44" t="n">
        <v>0.1</v>
      </c>
      <c r="D159" s="45" t="n">
        <v>0</v>
      </c>
      <c r="E159" s="45" t="n">
        <v>0</v>
      </c>
      <c r="F159" s="45" t="n">
        <v>0</v>
      </c>
      <c r="G159" s="45" t="n">
        <v>0</v>
      </c>
      <c r="H159" s="45" t="n">
        <v>0</v>
      </c>
      <c r="I159" s="45" t="n">
        <v>0</v>
      </c>
      <c r="J159" s="45">
        <f>SUM(F159:I159)</f>
        <v/>
      </c>
      <c r="K159" s="45">
        <f>J159-E159</f>
        <v/>
      </c>
      <c r="L159" s="44">
        <f>IF(E159&gt;0,J159/E159,0)</f>
        <v/>
      </c>
      <c r="M159" s="45" t="n">
        <v>0</v>
      </c>
      <c r="N159" s="45" t="n">
        <v>0</v>
      </c>
      <c r="O159" s="43" t="inlineStr"/>
      <c r="P159" s="43" t="inlineStr"/>
    </row>
    <row r="160">
      <c r="A160" s="43" t="n">
        <v>19</v>
      </c>
      <c r="B160" s="43" t="inlineStr">
        <is>
          <t>Silk&amp;Spicy</t>
        </is>
      </c>
      <c r="C160" s="44" t="n">
        <v>0.15</v>
      </c>
      <c r="D160" s="45" t="n">
        <v>0</v>
      </c>
      <c r="E160" s="45" t="n">
        <v>0</v>
      </c>
      <c r="F160" s="45" t="n">
        <v>0</v>
      </c>
      <c r="G160" s="45" t="n">
        <v>0</v>
      </c>
      <c r="H160" s="45" t="n">
        <v>0</v>
      </c>
      <c r="I160" s="45" t="n">
        <v>0</v>
      </c>
      <c r="J160" s="45">
        <f>SUM(F160:I160)</f>
        <v/>
      </c>
      <c r="K160" s="45">
        <f>J160-E160</f>
        <v/>
      </c>
      <c r="L160" s="44">
        <f>IF(E160&gt;0,J160/E160,0)</f>
        <v/>
      </c>
      <c r="M160" s="45" t="n">
        <v>0</v>
      </c>
      <c r="N160" s="45" t="n">
        <v>0</v>
      </c>
      <c r="O160" s="43" t="inlineStr"/>
      <c r="P160" s="43" t="inlineStr"/>
    </row>
    <row r="161">
      <c r="A161" s="43" t="n">
        <v>20</v>
      </c>
      <c r="B161" s="43" t="inlineStr">
        <is>
          <t>JOT OMA</t>
        </is>
      </c>
      <c r="C161" s="44" t="n">
        <v>0</v>
      </c>
      <c r="D161" s="45" t="n">
        <v>0</v>
      </c>
      <c r="E161" s="45" t="n">
        <v>0</v>
      </c>
      <c r="F161" s="45" t="n">
        <v>0</v>
      </c>
      <c r="G161" s="45" t="n">
        <v>0</v>
      </c>
      <c r="H161" s="45" t="n">
        <v>0</v>
      </c>
      <c r="I161" s="45" t="n">
        <v>0</v>
      </c>
      <c r="J161" s="45">
        <f>SUM(F161:I161)</f>
        <v/>
      </c>
      <c r="K161" s="45">
        <f>J161-E161</f>
        <v/>
      </c>
      <c r="L161" s="44">
        <f>IF(E161&gt;0,J161/E161,0)</f>
        <v/>
      </c>
      <c r="M161" s="45" t="n">
        <v>0</v>
      </c>
      <c r="N161" s="45" t="n">
        <v>0</v>
      </c>
      <c r="O161" s="43" t="inlineStr"/>
      <c r="P161" s="43" t="inlineStr"/>
    </row>
    <row r="162">
      <c r="A162" s="43" t="n">
        <v>21</v>
      </c>
      <c r="B162" s="43" t="inlineStr">
        <is>
          <t xml:space="preserve">HOŻA Argentine </t>
        </is>
      </c>
      <c r="C162" s="44" t="n">
        <v>0.19</v>
      </c>
      <c r="D162" s="45" t="n">
        <v>0</v>
      </c>
      <c r="E162" s="45" t="n">
        <v>0</v>
      </c>
      <c r="F162" s="45" t="n">
        <v>0</v>
      </c>
      <c r="G162" s="45" t="n">
        <v>0</v>
      </c>
      <c r="H162" s="45" t="n">
        <v>0</v>
      </c>
      <c r="I162" s="45" t="n">
        <v>0</v>
      </c>
      <c r="J162" s="45">
        <f>SUM(F162:I162)</f>
        <v/>
      </c>
      <c r="K162" s="45">
        <f>J162-E162</f>
        <v/>
      </c>
      <c r="L162" s="44">
        <f>IF(E162&gt;0,J162/E162,0)</f>
        <v/>
      </c>
      <c r="M162" s="45" t="n">
        <v>0</v>
      </c>
      <c r="N162" s="45" t="n">
        <v>1021.56</v>
      </c>
      <c r="O162" s="43" t="inlineStr"/>
      <c r="P162" s="43" t="inlineStr"/>
    </row>
    <row r="163">
      <c r="A163" s="43" t="n">
        <v>22</v>
      </c>
      <c r="B163" s="43" t="inlineStr">
        <is>
          <t>BOSKO</t>
        </is>
      </c>
      <c r="C163" s="44" t="n">
        <v>0.2</v>
      </c>
      <c r="D163" s="45" t="n">
        <v>0</v>
      </c>
      <c r="E163" s="45" t="n">
        <v>0</v>
      </c>
      <c r="F163" s="45" t="n">
        <v>0</v>
      </c>
      <c r="G163" s="45" t="n">
        <v>0</v>
      </c>
      <c r="H163" s="45" t="n">
        <v>0</v>
      </c>
      <c r="I163" s="45" t="n">
        <v>0</v>
      </c>
      <c r="J163" s="45">
        <f>SUM(F163:I163)</f>
        <v/>
      </c>
      <c r="K163" s="45">
        <f>J163-E163</f>
        <v/>
      </c>
      <c r="L163" s="44">
        <f>IF(E163&gt;0,J163/E163,0)</f>
        <v/>
      </c>
      <c r="M163" s="45" t="n">
        <v>0</v>
      </c>
      <c r="N163" s="45" t="n">
        <v>0</v>
      </c>
      <c r="O163" s="43" t="inlineStr"/>
      <c r="P163" s="43" t="inlineStr"/>
    </row>
    <row r="164">
      <c r="A164" s="43" t="n">
        <v>23</v>
      </c>
      <c r="B164" s="43" t="inlineStr">
        <is>
          <t>Blikle</t>
        </is>
      </c>
      <c r="C164" s="44" t="n">
        <v>0.15</v>
      </c>
      <c r="D164" s="45" t="n">
        <v>0</v>
      </c>
      <c r="E164" s="45" t="n">
        <v>0</v>
      </c>
      <c r="F164" s="45" t="n">
        <v>0</v>
      </c>
      <c r="G164" s="45" t="n">
        <v>0</v>
      </c>
      <c r="H164" s="45" t="n">
        <v>0</v>
      </c>
      <c r="I164" s="45" t="n">
        <v>0</v>
      </c>
      <c r="J164" s="45">
        <f>SUM(F164:I164)</f>
        <v/>
      </c>
      <c r="K164" s="45">
        <f>J164-E164</f>
        <v/>
      </c>
      <c r="L164" s="44">
        <f>IF(E164&gt;0,J164/E164,0)</f>
        <v/>
      </c>
      <c r="M164" s="45" t="n">
        <v>0</v>
      </c>
      <c r="N164" s="45" t="n">
        <v>0</v>
      </c>
      <c r="O164" s="43" t="inlineStr"/>
      <c r="P164" s="43" t="inlineStr"/>
    </row>
    <row r="165">
      <c r="A165" s="43" t="n">
        <v>24</v>
      </c>
      <c r="B165" s="43" t="inlineStr">
        <is>
          <t>JOT Wilanów</t>
        </is>
      </c>
      <c r="C165" s="44" t="n">
        <v>0</v>
      </c>
      <c r="D165" s="45" t="n">
        <v>0</v>
      </c>
      <c r="E165" s="45" t="n">
        <v>0</v>
      </c>
      <c r="F165" s="45" t="n">
        <v>0</v>
      </c>
      <c r="G165" s="45" t="n">
        <v>0</v>
      </c>
      <c r="H165" s="45" t="n">
        <v>0</v>
      </c>
      <c r="I165" s="45" t="n">
        <v>0</v>
      </c>
      <c r="J165" s="45">
        <f>SUM(F165:I165)</f>
        <v/>
      </c>
      <c r="K165" s="45">
        <f>J165-E165</f>
        <v/>
      </c>
      <c r="L165" s="44">
        <f>IF(E165&gt;0,J165/E165,0)</f>
        <v/>
      </c>
      <c r="M165" s="45" t="n">
        <v>0</v>
      </c>
      <c r="N165" s="45" t="n">
        <v>0</v>
      </c>
      <c r="O165" s="43" t="inlineStr"/>
      <c r="P165" s="43" t="inlineStr"/>
    </row>
    <row r="166">
      <c r="A166" s="43" t="n">
        <v>25</v>
      </c>
      <c r="B166" s="43" t="inlineStr">
        <is>
          <t>Blikle Placówki</t>
        </is>
      </c>
      <c r="C166" s="44" t="n">
        <v>0.15</v>
      </c>
      <c r="D166" s="45" t="n">
        <v>0</v>
      </c>
      <c r="E166" s="45" t="n">
        <v>0</v>
      </c>
      <c r="F166" s="45" t="n">
        <v>0</v>
      </c>
      <c r="G166" s="45" t="n">
        <v>0</v>
      </c>
      <c r="H166" s="45" t="n">
        <v>0</v>
      </c>
      <c r="I166" s="45" t="n">
        <v>0</v>
      </c>
      <c r="J166" s="45">
        <f>SUM(F166:I166)</f>
        <v/>
      </c>
      <c r="K166" s="45">
        <f>J166-E166</f>
        <v/>
      </c>
      <c r="L166" s="44">
        <f>IF(E166&gt;0,J166/E166,0)</f>
        <v/>
      </c>
      <c r="M166" s="45" t="n">
        <v>0</v>
      </c>
      <c r="N166" s="45" t="n">
        <v>0</v>
      </c>
      <c r="O166" s="43" t="inlineStr"/>
      <c r="P166" s="43" t="inlineStr"/>
    </row>
    <row r="167">
      <c r="A167" s="43" t="n">
        <v>26</v>
      </c>
      <c r="B167" s="43" t="inlineStr">
        <is>
          <t>Szkoła w Mińsku</t>
        </is>
      </c>
      <c r="C167" s="44" t="n">
        <v>0.1</v>
      </c>
      <c r="D167" s="45" t="n">
        <v>0</v>
      </c>
      <c r="E167" s="45" t="n">
        <v>0</v>
      </c>
      <c r="F167" s="45" t="n">
        <v>0</v>
      </c>
      <c r="G167" s="45" t="n">
        <v>0</v>
      </c>
      <c r="H167" s="45" t="n">
        <v>0</v>
      </c>
      <c r="I167" s="45" t="n">
        <v>0</v>
      </c>
      <c r="J167" s="45">
        <f>SUM(F167:I167)</f>
        <v/>
      </c>
      <c r="K167" s="45">
        <f>J167-E167</f>
        <v/>
      </c>
      <c r="L167" s="44">
        <f>IF(E167&gt;0,J167/E167,0)</f>
        <v/>
      </c>
      <c r="M167" s="45" t="n">
        <v>0</v>
      </c>
      <c r="N167" s="45" t="n">
        <v>0</v>
      </c>
      <c r="O167" s="43" t="inlineStr"/>
      <c r="P167" s="43" t="inlineStr"/>
    </row>
    <row r="168">
      <c r="A168" s="43" t="n">
        <v>27</v>
      </c>
      <c r="B168" s="43" t="inlineStr">
        <is>
          <t>Fiori Foods</t>
        </is>
      </c>
      <c r="C168" s="44" t="n">
        <v>0</v>
      </c>
      <c r="D168" s="45" t="n">
        <v>0</v>
      </c>
      <c r="E168" s="45" t="n">
        <v>0</v>
      </c>
      <c r="F168" s="45" t="n">
        <v>0</v>
      </c>
      <c r="G168" s="45" t="n">
        <v>0</v>
      </c>
      <c r="H168" s="45" t="n">
        <v>0</v>
      </c>
      <c r="I168" s="45" t="n">
        <v>0</v>
      </c>
      <c r="J168" s="45">
        <f>SUM(F168:I168)</f>
        <v/>
      </c>
      <c r="K168" s="45">
        <f>J168-E168</f>
        <v/>
      </c>
      <c r="L168" s="44">
        <f>IF(E168&gt;0,J168/E168,0)</f>
        <v/>
      </c>
      <c r="M168" s="45" t="n">
        <v>0</v>
      </c>
      <c r="N168" s="45" t="n">
        <v>0</v>
      </c>
      <c r="O168" s="43" t="inlineStr"/>
      <c r="P168" s="43" t="inlineStr"/>
    </row>
    <row r="169">
      <c r="A169" s="43" t="n">
        <v>28</v>
      </c>
      <c r="B169" s="43" t="inlineStr">
        <is>
          <t>Pizzeria Italiana</t>
        </is>
      </c>
      <c r="C169" s="44" t="n">
        <v>0</v>
      </c>
      <c r="D169" s="45" t="n">
        <v>0</v>
      </c>
      <c r="E169" s="45" t="n">
        <v>0</v>
      </c>
      <c r="F169" s="45" t="n">
        <v>0</v>
      </c>
      <c r="G169" s="45" t="n">
        <v>0</v>
      </c>
      <c r="H169" s="45" t="n">
        <v>0</v>
      </c>
      <c r="I169" s="45" t="n">
        <v>0</v>
      </c>
      <c r="J169" s="45">
        <f>SUM(F169:I169)</f>
        <v/>
      </c>
      <c r="K169" s="45">
        <f>J169-E169</f>
        <v/>
      </c>
      <c r="L169" s="44">
        <f>IF(E169&gt;0,J169/E169,0)</f>
        <v/>
      </c>
      <c r="M169" s="45" t="n">
        <v>0</v>
      </c>
      <c r="N169" s="45" t="n">
        <v>0</v>
      </c>
      <c r="O169" s="43" t="inlineStr"/>
      <c r="P169" s="43" t="inlineStr"/>
    </row>
    <row r="170">
      <c r="A170" s="43" t="n">
        <v>29</v>
      </c>
      <c r="B170" s="43" t="inlineStr">
        <is>
          <t>Przedszkole Ciekawi Świata</t>
        </is>
      </c>
      <c r="C170" s="44" t="n">
        <v>0.1</v>
      </c>
      <c r="D170" s="45" t="n">
        <v>0</v>
      </c>
      <c r="E170" s="45" t="n">
        <v>0</v>
      </c>
      <c r="F170" s="45" t="n">
        <v>0</v>
      </c>
      <c r="G170" s="45" t="n">
        <v>0</v>
      </c>
      <c r="H170" s="45" t="n">
        <v>0</v>
      </c>
      <c r="I170" s="45" t="n">
        <v>0</v>
      </c>
      <c r="J170" s="45">
        <f>SUM(F170:I170)</f>
        <v/>
      </c>
      <c r="K170" s="45">
        <f>J170-E170</f>
        <v/>
      </c>
      <c r="L170" s="44">
        <f>IF(E170&gt;0,J170/E170,0)</f>
        <v/>
      </c>
      <c r="M170" s="45" t="n">
        <v>0</v>
      </c>
      <c r="N170" s="45" t="n">
        <v>2361.92</v>
      </c>
      <c r="O170" s="43" t="inlineStr"/>
      <c r="P170" s="43" t="inlineStr"/>
    </row>
    <row r="171">
      <c r="A171" s="43" t="n">
        <v>30</v>
      </c>
      <c r="B171" s="43" t="inlineStr">
        <is>
          <t>Usagi Sushi</t>
        </is>
      </c>
      <c r="C171" s="44" t="n">
        <v>0.2</v>
      </c>
      <c r="D171" s="45" t="n">
        <v>0</v>
      </c>
      <c r="E171" s="45" t="n">
        <v>0</v>
      </c>
      <c r="F171" s="45" t="n">
        <v>0</v>
      </c>
      <c r="G171" s="45" t="n">
        <v>0</v>
      </c>
      <c r="H171" s="45" t="n">
        <v>0</v>
      </c>
      <c r="I171" s="45" t="n">
        <v>0</v>
      </c>
      <c r="J171" s="45">
        <f>SUM(F171:I171)</f>
        <v/>
      </c>
      <c r="K171" s="45">
        <f>J171-E171</f>
        <v/>
      </c>
      <c r="L171" s="44">
        <f>IF(E171&gt;0,J171/E171,0)</f>
        <v/>
      </c>
      <c r="M171" s="45" t="n">
        <v>0</v>
      </c>
      <c r="N171" s="45" t="n">
        <v>0</v>
      </c>
      <c r="O171" s="43" t="inlineStr"/>
      <c r="P171" s="43" t="inlineStr"/>
    </row>
    <row r="172">
      <c r="A172" s="43" t="n">
        <v>31</v>
      </c>
      <c r="B172" s="43" t="inlineStr">
        <is>
          <t>Łochów</t>
        </is>
      </c>
      <c r="C172" s="44" t="n">
        <v>0.1</v>
      </c>
      <c r="D172" s="45" t="n">
        <v>0</v>
      </c>
      <c r="E172" s="45" t="n">
        <v>0</v>
      </c>
      <c r="F172" s="45" t="n">
        <v>0</v>
      </c>
      <c r="G172" s="45" t="n">
        <v>0</v>
      </c>
      <c r="H172" s="45" t="n">
        <v>0</v>
      </c>
      <c r="I172" s="45" t="n">
        <v>0</v>
      </c>
      <c r="J172" s="45">
        <f>SUM(F172:I172)</f>
        <v/>
      </c>
      <c r="K172" s="45">
        <f>J172-E172</f>
        <v/>
      </c>
      <c r="L172" s="44">
        <f>IF(E172&gt;0,J172/E172,0)</f>
        <v/>
      </c>
      <c r="M172" s="45" t="n">
        <v>0</v>
      </c>
      <c r="N172" s="45" t="n">
        <v>1077.7</v>
      </c>
      <c r="O172" s="43" t="inlineStr"/>
      <c r="P172" s="43" t="inlineStr"/>
    </row>
    <row r="173">
      <c r="A173" s="43" t="n">
        <v>32</v>
      </c>
      <c r="B173" s="43" t="inlineStr">
        <is>
          <t>Królewska Kawa</t>
        </is>
      </c>
      <c r="C173" s="44" t="n">
        <v>0.15</v>
      </c>
      <c r="D173" s="45" t="n">
        <v>0</v>
      </c>
      <c r="E173" s="45" t="n">
        <v>0</v>
      </c>
      <c r="F173" s="45" t="n">
        <v>0</v>
      </c>
      <c r="G173" s="45" t="n">
        <v>0</v>
      </c>
      <c r="H173" s="45" t="n">
        <v>0</v>
      </c>
      <c r="I173" s="45" t="n">
        <v>0</v>
      </c>
      <c r="J173" s="45">
        <f>SUM(F173:I173)</f>
        <v/>
      </c>
      <c r="K173" s="45">
        <f>J173-E173</f>
        <v/>
      </c>
      <c r="L173" s="44">
        <f>IF(E173&gt;0,J173/E173,0)</f>
        <v/>
      </c>
      <c r="M173" s="45" t="n">
        <v>0</v>
      </c>
      <c r="N173" s="45" t="n">
        <v>716.3200000000001</v>
      </c>
      <c r="O173" s="43" t="inlineStr"/>
      <c r="P173" s="43" t="inlineStr"/>
    </row>
    <row r="174">
      <c r="A174" s="43" t="n">
        <v>33</v>
      </c>
      <c r="B174" s="43" t="inlineStr">
        <is>
          <t>Silk&amp;Spicy GDAŃSK</t>
        </is>
      </c>
      <c r="C174" s="44" t="n">
        <v>0.15</v>
      </c>
      <c r="D174" s="45" t="n">
        <v>0</v>
      </c>
      <c r="E174" s="45" t="n">
        <v>0</v>
      </c>
      <c r="F174" s="45" t="n">
        <v>0</v>
      </c>
      <c r="G174" s="45" t="n">
        <v>0</v>
      </c>
      <c r="H174" s="45" t="n">
        <v>0</v>
      </c>
      <c r="I174" s="45" t="n">
        <v>0</v>
      </c>
      <c r="J174" s="45">
        <f>SUM(F174:I174)</f>
        <v/>
      </c>
      <c r="K174" s="45">
        <f>J174-E174</f>
        <v/>
      </c>
      <c r="L174" s="44">
        <f>IF(E174&gt;0,J174/E174,0)</f>
        <v/>
      </c>
      <c r="M174" s="45" t="n">
        <v>0</v>
      </c>
      <c r="N174" s="45" t="n">
        <v>0</v>
      </c>
      <c r="O174" s="43" t="inlineStr"/>
      <c r="P174" s="43" t="inlineStr"/>
    </row>
    <row r="175">
      <c r="A175" s="43" t="n">
        <v>34</v>
      </c>
      <c r="B175" s="43" t="inlineStr">
        <is>
          <t>Kaizen S.C</t>
        </is>
      </c>
      <c r="C175" s="44" t="n">
        <v>0</v>
      </c>
      <c r="D175" s="45" t="n">
        <v>0</v>
      </c>
      <c r="E175" s="45" t="n">
        <v>0</v>
      </c>
      <c r="F175" s="45" t="n">
        <v>0</v>
      </c>
      <c r="G175" s="45" t="n">
        <v>0</v>
      </c>
      <c r="H175" s="45" t="n">
        <v>0</v>
      </c>
      <c r="I175" s="45" t="n">
        <v>0</v>
      </c>
      <c r="J175" s="45">
        <f>SUM(F175:I175)</f>
        <v/>
      </c>
      <c r="K175" s="45">
        <f>J175-E175</f>
        <v/>
      </c>
      <c r="L175" s="44">
        <f>IF(E175&gt;0,J175/E175,0)</f>
        <v/>
      </c>
      <c r="M175" s="45" t="n">
        <v>0</v>
      </c>
      <c r="N175" s="45" t="n">
        <v>0</v>
      </c>
      <c r="O175" s="43" t="inlineStr"/>
      <c r="P175" s="43" t="inlineStr"/>
    </row>
    <row r="176">
      <c r="A176" s="43" t="n">
        <v>35</v>
      </c>
      <c r="B176" s="43" t="inlineStr">
        <is>
          <t>Kaliska 20</t>
        </is>
      </c>
      <c r="C176" s="44" t="n">
        <v>0.15</v>
      </c>
      <c r="D176" s="45" t="n">
        <v>0</v>
      </c>
      <c r="E176" s="45" t="n">
        <v>0</v>
      </c>
      <c r="F176" s="45" t="n">
        <v>0</v>
      </c>
      <c r="G176" s="45" t="n">
        <v>0</v>
      </c>
      <c r="H176" s="45" t="n">
        <v>0</v>
      </c>
      <c r="I176" s="45" t="n">
        <v>0</v>
      </c>
      <c r="J176" s="45">
        <f>SUM(F176:I176)</f>
        <v/>
      </c>
      <c r="K176" s="45">
        <f>J176-E176</f>
        <v/>
      </c>
      <c r="L176" s="44">
        <f>IF(E176&gt;0,J176/E176,0)</f>
        <v/>
      </c>
      <c r="M176" s="45" t="n">
        <v>0</v>
      </c>
      <c r="N176" s="45" t="n">
        <v>0</v>
      </c>
      <c r="O176" s="43" t="inlineStr"/>
      <c r="P176" s="43" t="inlineStr"/>
    </row>
    <row r="177">
      <c r="A177" s="43" t="n">
        <v>36</v>
      </c>
      <c r="B177" s="43" t="inlineStr">
        <is>
          <t>Szkoła w Mińsku - Magda</t>
        </is>
      </c>
      <c r="C177" s="44" t="n">
        <v>0.15</v>
      </c>
      <c r="D177" s="45" t="n">
        <v>0</v>
      </c>
      <c r="E177" s="45" t="n">
        <v>0</v>
      </c>
      <c r="F177" s="45" t="n">
        <v>0</v>
      </c>
      <c r="G177" s="45" t="n">
        <v>0</v>
      </c>
      <c r="H177" s="45" t="n">
        <v>0</v>
      </c>
      <c r="I177" s="45" t="n">
        <v>0</v>
      </c>
      <c r="J177" s="45">
        <f>SUM(F177:I177)</f>
        <v/>
      </c>
      <c r="K177" s="45">
        <f>J177-E177</f>
        <v/>
      </c>
      <c r="L177" s="44">
        <f>IF(E177&gt;0,J177/E177,0)</f>
        <v/>
      </c>
      <c r="M177" s="45" t="n">
        <v>0</v>
      </c>
      <c r="N177" s="45" t="n">
        <v>0</v>
      </c>
      <c r="O177" s="43" t="inlineStr"/>
      <c r="P177" s="43" t="inlineStr"/>
    </row>
    <row r="178">
      <c r="A178" s="43" t="n">
        <v>37</v>
      </c>
      <c r="B178" s="43" t="inlineStr">
        <is>
          <t>Activ Cafe</t>
        </is>
      </c>
      <c r="C178" s="44" t="n">
        <v>0.15</v>
      </c>
      <c r="D178" s="45" t="n">
        <v>0</v>
      </c>
      <c r="E178" s="45" t="n">
        <v>0</v>
      </c>
      <c r="F178" s="45" t="n">
        <v>0</v>
      </c>
      <c r="G178" s="45" t="n">
        <v>0</v>
      </c>
      <c r="H178" s="45" t="n">
        <v>0</v>
      </c>
      <c r="I178" s="45" t="n">
        <v>0</v>
      </c>
      <c r="J178" s="45">
        <f>SUM(F178:I178)</f>
        <v/>
      </c>
      <c r="K178" s="45">
        <f>J178-E178</f>
        <v/>
      </c>
      <c r="L178" s="44">
        <f>IF(E178&gt;0,J178/E178,0)</f>
        <v/>
      </c>
      <c r="M178" s="45" t="n">
        <v>0</v>
      </c>
      <c r="N178" s="45" t="n">
        <v>0</v>
      </c>
      <c r="O178" s="43" t="inlineStr"/>
      <c r="P178" s="43" t="inlineStr"/>
    </row>
    <row r="179">
      <c r="A179" s="43" t="n">
        <v>38</v>
      </c>
      <c r="B179" s="43" t="inlineStr">
        <is>
          <t>SMASZ IT DOLNA</t>
        </is>
      </c>
      <c r="C179" s="44" t="n">
        <v>0.1</v>
      </c>
      <c r="D179" s="45" t="n">
        <v>0</v>
      </c>
      <c r="E179" s="45" t="n">
        <v>0</v>
      </c>
      <c r="F179" s="45" t="n">
        <v>0</v>
      </c>
      <c r="G179" s="45" t="n">
        <v>0</v>
      </c>
      <c r="H179" s="45" t="n">
        <v>0</v>
      </c>
      <c r="I179" s="45" t="n">
        <v>0</v>
      </c>
      <c r="J179" s="45">
        <f>SUM(F179:I179)</f>
        <v/>
      </c>
      <c r="K179" s="45">
        <f>J179-E179</f>
        <v/>
      </c>
      <c r="L179" s="44">
        <f>IF(E179&gt;0,J179/E179,0)</f>
        <v/>
      </c>
      <c r="M179" s="45" t="n">
        <v>0</v>
      </c>
      <c r="N179" s="45" t="n">
        <v>0</v>
      </c>
      <c r="O179" s="43" t="inlineStr"/>
      <c r="P179" s="43" t="inlineStr"/>
    </row>
    <row r="180">
      <c r="A180" s="43" t="n">
        <v>39</v>
      </c>
      <c r="B180" s="43" t="inlineStr">
        <is>
          <t>SMASZ IT SOLEC</t>
        </is>
      </c>
      <c r="C180" s="44" t="n">
        <v>0.1</v>
      </c>
      <c r="D180" s="45" t="n">
        <v>0</v>
      </c>
      <c r="E180" s="45" t="n">
        <v>0</v>
      </c>
      <c r="F180" s="45" t="n">
        <v>0</v>
      </c>
      <c r="G180" s="45" t="n">
        <v>0</v>
      </c>
      <c r="H180" s="45" t="n">
        <v>0</v>
      </c>
      <c r="I180" s="45" t="n">
        <v>0</v>
      </c>
      <c r="J180" s="45">
        <f>SUM(F180:I180)</f>
        <v/>
      </c>
      <c r="K180" s="45">
        <f>J180-E180</f>
        <v/>
      </c>
      <c r="L180" s="44">
        <f>IF(E180&gt;0,J180/E180,0)</f>
        <v/>
      </c>
      <c r="M180" s="45" t="n">
        <v>0</v>
      </c>
      <c r="N180" s="45" t="n">
        <v>0</v>
      </c>
      <c r="O180" s="43" t="inlineStr"/>
      <c r="P180" s="43" t="inlineStr"/>
    </row>
    <row r="181">
      <c r="A181" s="43" t="n">
        <v>40</v>
      </c>
      <c r="B181" s="43" t="inlineStr">
        <is>
          <t xml:space="preserve">Margariter Ros </t>
        </is>
      </c>
      <c r="C181" s="44" t="n">
        <v>0.18</v>
      </c>
      <c r="D181" s="45" t="n">
        <v>0</v>
      </c>
      <c r="E181" s="45" t="n">
        <v>0</v>
      </c>
      <c r="F181" s="45" t="n">
        <v>0</v>
      </c>
      <c r="G181" s="45" t="n">
        <v>0</v>
      </c>
      <c r="H181" s="45" t="n">
        <v>0</v>
      </c>
      <c r="I181" s="45" t="n">
        <v>0</v>
      </c>
      <c r="J181" s="45">
        <f>SUM(F181:I181)</f>
        <v/>
      </c>
      <c r="K181" s="45">
        <f>J181-E181</f>
        <v/>
      </c>
      <c r="L181" s="44">
        <f>IF(E181&gt;0,J181/E181,0)</f>
        <v/>
      </c>
      <c r="M181" s="45" t="n">
        <v>0</v>
      </c>
      <c r="N181" s="45" t="n">
        <v>391.8</v>
      </c>
      <c r="O181" s="43" t="inlineStr"/>
      <c r="P181" s="43" t="inlineStr"/>
    </row>
    <row r="182">
      <c r="A182" s="43" t="n">
        <v>41</v>
      </c>
      <c r="B182" s="43" t="inlineStr">
        <is>
          <t>Magu Sushi Instalatorowa</t>
        </is>
      </c>
      <c r="C182" s="44" t="n">
        <v>0.2</v>
      </c>
      <c r="D182" s="45" t="n">
        <v>0</v>
      </c>
      <c r="E182" s="45" t="n">
        <v>0</v>
      </c>
      <c r="F182" s="45" t="n">
        <v>0</v>
      </c>
      <c r="G182" s="45" t="n">
        <v>0</v>
      </c>
      <c r="H182" s="45" t="n">
        <v>0</v>
      </c>
      <c r="I182" s="45" t="n">
        <v>0</v>
      </c>
      <c r="J182" s="45">
        <f>SUM(F182:I182)</f>
        <v/>
      </c>
      <c r="K182" s="45">
        <f>J182-E182</f>
        <v/>
      </c>
      <c r="L182" s="44">
        <f>IF(E182&gt;0,J182/E182,0)</f>
        <v/>
      </c>
      <c r="M182" s="45" t="n">
        <v>0</v>
      </c>
      <c r="N182" s="45" t="n">
        <v>0</v>
      </c>
      <c r="O182" s="43" t="inlineStr"/>
      <c r="P182" s="43" t="inlineStr"/>
    </row>
    <row r="183">
      <c r="A183" s="43" t="n">
        <v>42</v>
      </c>
      <c r="B183" s="43" t="inlineStr">
        <is>
          <t>Takumi</t>
        </is>
      </c>
      <c r="C183" s="44" t="n">
        <v>0.18</v>
      </c>
      <c r="D183" s="45" t="n">
        <v>0</v>
      </c>
      <c r="E183" s="45" t="n">
        <v>0</v>
      </c>
      <c r="F183" s="45" t="n">
        <v>0</v>
      </c>
      <c r="G183" s="45" t="n">
        <v>0</v>
      </c>
      <c r="H183" s="45" t="n">
        <v>0</v>
      </c>
      <c r="I183" s="45" t="n">
        <v>0</v>
      </c>
      <c r="J183" s="45">
        <f>SUM(F183:I183)</f>
        <v/>
      </c>
      <c r="K183" s="45">
        <f>J183-E183</f>
        <v/>
      </c>
      <c r="L183" s="44">
        <f>IF(E183&gt;0,J183/E183,0)</f>
        <v/>
      </c>
      <c r="M183" s="45" t="n">
        <v>0</v>
      </c>
      <c r="N183" s="45" t="n">
        <v>0</v>
      </c>
      <c r="O183" s="43" t="inlineStr"/>
      <c r="P183" s="43" t="inlineStr"/>
    </row>
    <row r="184">
      <c r="A184" s="43" t="n">
        <v>43</v>
      </c>
      <c r="B184" s="43" t="inlineStr">
        <is>
          <t>Tres Toros</t>
        </is>
      </c>
      <c r="C184" s="44" t="n">
        <v>0.2</v>
      </c>
      <c r="D184" s="45" t="n">
        <v>0</v>
      </c>
      <c r="E184" s="45" t="n">
        <v>0</v>
      </c>
      <c r="F184" s="45" t="n">
        <v>0</v>
      </c>
      <c r="G184" s="45" t="n">
        <v>0</v>
      </c>
      <c r="H184" s="45" t="n">
        <v>0</v>
      </c>
      <c r="I184" s="45" t="n">
        <v>0</v>
      </c>
      <c r="J184" s="45">
        <f>SUM(F184:I184)</f>
        <v/>
      </c>
      <c r="K184" s="45">
        <f>J184-E184</f>
        <v/>
      </c>
      <c r="L184" s="44">
        <f>IF(E184&gt;0,J184/E184,0)</f>
        <v/>
      </c>
      <c r="M184" s="45" t="n">
        <v>0</v>
      </c>
      <c r="N184" s="45" t="n">
        <v>0</v>
      </c>
      <c r="O184" s="43" t="inlineStr"/>
      <c r="P184" s="43" t="inlineStr"/>
    </row>
    <row r="185">
      <c r="A185" s="43" t="n">
        <v>44</v>
      </c>
      <c r="B185" s="43" t="inlineStr">
        <is>
          <t>Arizona Burger WOLSKA</t>
        </is>
      </c>
      <c r="C185" s="44" t="n">
        <v>0.18</v>
      </c>
      <c r="D185" s="45" t="n">
        <v>0</v>
      </c>
      <c r="E185" s="45" t="n">
        <v>0</v>
      </c>
      <c r="F185" s="45" t="n">
        <v>0</v>
      </c>
      <c r="G185" s="45" t="n">
        <v>0</v>
      </c>
      <c r="H185" s="45" t="n">
        <v>0</v>
      </c>
      <c r="I185" s="45" t="n">
        <v>0</v>
      </c>
      <c r="J185" s="45">
        <f>SUM(F185:I185)</f>
        <v/>
      </c>
      <c r="K185" s="45">
        <f>J185-E185</f>
        <v/>
      </c>
      <c r="L185" s="44">
        <f>IF(E185&gt;0,J185/E185,0)</f>
        <v/>
      </c>
      <c r="M185" s="45" t="n">
        <v>0</v>
      </c>
      <c r="N185" s="45" t="n">
        <v>0</v>
      </c>
      <c r="O185" s="43" t="inlineStr"/>
      <c r="P185" s="43" t="inlineStr"/>
    </row>
    <row r="186">
      <c r="A186" s="43" t="n">
        <v>45</v>
      </c>
      <c r="B186" s="43" t="inlineStr">
        <is>
          <t>Legia Sports Bar</t>
        </is>
      </c>
      <c r="C186" s="44" t="n">
        <v>0.15</v>
      </c>
      <c r="D186" s="45" t="n">
        <v>0</v>
      </c>
      <c r="E186" s="45" t="n">
        <v>0</v>
      </c>
      <c r="F186" s="45" t="n">
        <v>0</v>
      </c>
      <c r="G186" s="45" t="n">
        <v>0</v>
      </c>
      <c r="H186" s="45" t="n">
        <v>0</v>
      </c>
      <c r="I186" s="45" t="n">
        <v>0</v>
      </c>
      <c r="J186" s="45">
        <f>SUM(F186:I186)</f>
        <v/>
      </c>
      <c r="K186" s="45">
        <f>J186-E186</f>
        <v/>
      </c>
      <c r="L186" s="44">
        <f>IF(E186&gt;0,J186/E186,0)</f>
        <v/>
      </c>
      <c r="M186" s="45" t="n">
        <v>0</v>
      </c>
      <c r="N186" s="45" t="n">
        <v>0</v>
      </c>
      <c r="O186" s="43" t="inlineStr"/>
      <c r="P186" s="43" t="inlineStr"/>
    </row>
    <row r="187">
      <c r="A187" s="43" t="n">
        <v>46</v>
      </c>
      <c r="B187" s="43" t="inlineStr">
        <is>
          <t>Palermo Pruszków</t>
        </is>
      </c>
      <c r="C187" s="44" t="n">
        <v>0.2</v>
      </c>
      <c r="D187" s="45" t="n">
        <v>0</v>
      </c>
      <c r="E187" s="45" t="n">
        <v>0</v>
      </c>
      <c r="F187" s="45" t="n">
        <v>0</v>
      </c>
      <c r="G187" s="45" t="n">
        <v>0</v>
      </c>
      <c r="H187" s="45" t="n">
        <v>0</v>
      </c>
      <c r="I187" s="45" t="n">
        <v>0</v>
      </c>
      <c r="J187" s="45">
        <f>SUM(F187:I187)</f>
        <v/>
      </c>
      <c r="K187" s="45">
        <f>J187-E187</f>
        <v/>
      </c>
      <c r="L187" s="44">
        <f>IF(E187&gt;0,J187/E187,0)</f>
        <v/>
      </c>
      <c r="M187" s="45" t="n">
        <v>0</v>
      </c>
      <c r="N187" s="45" t="n">
        <v>683.89</v>
      </c>
      <c r="O187" s="43" t="inlineStr"/>
      <c r="P187" s="43" t="inlineStr"/>
    </row>
    <row r="188">
      <c r="A188" s="43" t="n">
        <v>47</v>
      </c>
      <c r="B188" s="43" t="inlineStr">
        <is>
          <t>SKALO - Prime WROCŁAW</t>
        </is>
      </c>
      <c r="C188" s="44" t="n">
        <v>0.1</v>
      </c>
      <c r="D188" s="45" t="n">
        <v>-619.65</v>
      </c>
      <c r="E188" s="45" t="n">
        <v>0</v>
      </c>
      <c r="F188" s="45" t="n">
        <v>0</v>
      </c>
      <c r="G188" s="45" t="n">
        <v>0</v>
      </c>
      <c r="H188" s="45" t="n">
        <v>0</v>
      </c>
      <c r="I188" s="45" t="n">
        <v>0</v>
      </c>
      <c r="J188" s="45">
        <f>SUM(F188:I188)</f>
        <v/>
      </c>
      <c r="K188" s="45">
        <f>J188-E188</f>
        <v/>
      </c>
      <c r="L188" s="44">
        <f>IF(E188&gt;0,J188/E188,0)</f>
        <v/>
      </c>
      <c r="M188" s="45" t="n">
        <v>0</v>
      </c>
      <c r="N188" s="45" t="n">
        <v>653.77</v>
      </c>
      <c r="O188" s="43" t="inlineStr"/>
      <c r="P188" s="43" t="inlineStr"/>
    </row>
    <row r="189">
      <c r="A189" s="64" t="n"/>
      <c r="B189" s="28" t="inlineStr">
        <is>
          <t>RAZEM WERYFIKACJA - ODEJDĄ</t>
        </is>
      </c>
      <c r="C189" s="65" t="n"/>
      <c r="D189" s="66">
        <f>SUM(D142:D188)</f>
        <v/>
      </c>
      <c r="E189" s="66">
        <f>SUM(E142:E188)</f>
        <v/>
      </c>
      <c r="F189" s="66">
        <f>SUM(F142:F188)</f>
        <v/>
      </c>
      <c r="G189" s="66">
        <f>SUM(G142:G188)</f>
        <v/>
      </c>
      <c r="H189" s="66">
        <f>SUM(H142:H188)</f>
        <v/>
      </c>
      <c r="I189" s="66">
        <f>SUM(I142:I188)</f>
        <v/>
      </c>
      <c r="J189" s="66">
        <f>SUM(J142:J188)</f>
        <v/>
      </c>
      <c r="K189" s="66">
        <f>SUM(K142:K188)</f>
        <v/>
      </c>
      <c r="L189" s="67">
        <f>IF(E189&gt;0,J189/E189,0)</f>
        <v/>
      </c>
      <c r="M189" s="68" t="n"/>
      <c r="N189" s="66">
        <f>SUM(N142:N188)</f>
        <v/>
      </c>
      <c r="O189" s="64" t="n"/>
      <c r="P189" s="64" t="n"/>
    </row>
    <row r="191">
      <c r="A191" s="77" t="inlineStr">
        <is>
          <t>INNE (nowi / nieprzypisani)</t>
        </is>
      </c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</row>
    <row r="192">
      <c r="A192" s="58" t="inlineStr">
        <is>
          <t>Poz.</t>
        </is>
      </c>
      <c r="B192" s="58" t="inlineStr">
        <is>
          <t>Klient</t>
        </is>
      </c>
      <c r="C192" s="58" t="inlineStr">
        <is>
          <t>Rabat%</t>
        </is>
      </c>
      <c r="D192" s="58" t="inlineStr">
        <is>
          <t>Sprzedaż
Sty 26</t>
        </is>
      </c>
      <c r="E192" s="58" t="inlineStr">
        <is>
          <t>CEL Luty 26
(Sty +5%)</t>
        </is>
      </c>
      <c r="F192" s="58" t="inlineStr">
        <is>
          <t>Tydz 1
(02-08)</t>
        </is>
      </c>
      <c r="G192" s="58" t="inlineStr">
        <is>
          <t>Tydz 2
(09-15)</t>
        </is>
      </c>
      <c r="H192" s="58" t="inlineStr">
        <is>
          <t>Tydz 3
(16-22)</t>
        </is>
      </c>
      <c r="I192" s="58" t="inlineStr">
        <is>
          <t>Tydz 4
(23-28)</t>
        </is>
      </c>
      <c r="J192" s="58" t="inlineStr">
        <is>
          <t>SUMA
Realizacja</t>
        </is>
      </c>
      <c r="K192" s="58" t="inlineStr">
        <is>
          <t>Różnica
vs CEL</t>
        </is>
      </c>
      <c r="L192" s="58" t="inlineStr">
        <is>
          <t>% Real.</t>
        </is>
      </c>
      <c r="M192" s="58" t="inlineStr">
        <is>
          <t>Śr. Tyg.
Sty 26</t>
        </is>
      </c>
      <c r="N192" s="58" t="inlineStr">
        <is>
          <t>Sprzedaż
Gru 25</t>
        </is>
      </c>
      <c r="O192" s="58" t="inlineStr">
        <is>
          <t>Notatki</t>
        </is>
      </c>
      <c r="P192" s="58" t="inlineStr">
        <is>
          <t>Status</t>
        </is>
      </c>
    </row>
    <row r="193">
      <c r="A193" s="37" t="n">
        <v>1</v>
      </c>
      <c r="B193" s="37" t="inlineStr">
        <is>
          <t>YUMMY FOOD</t>
        </is>
      </c>
      <c r="C193" s="38" t="n">
        <v>0</v>
      </c>
      <c r="D193" s="39" t="n">
        <v>3830.4</v>
      </c>
      <c r="E193" s="62" t="n">
        <v>4021.92</v>
      </c>
      <c r="F193" s="62" t="n">
        <v>0</v>
      </c>
      <c r="G193" s="62" t="n">
        <v>0</v>
      </c>
      <c r="H193" s="62" t="n">
        <v>0</v>
      </c>
      <c r="I193" s="62" t="n">
        <v>0</v>
      </c>
      <c r="J193" s="39">
        <f>SUM(F193:I193)</f>
        <v/>
      </c>
      <c r="K193" s="39">
        <f>J193-E193</f>
        <v/>
      </c>
      <c r="L193" s="38">
        <f>IF(E193&gt;0,J193/E193,0)</f>
        <v/>
      </c>
      <c r="M193" s="39" t="n">
        <v>890.79</v>
      </c>
      <c r="N193" s="39" t="n">
        <v>787.6799999999999</v>
      </c>
      <c r="O193" s="63" t="inlineStr"/>
      <c r="P193" s="63" t="inlineStr"/>
    </row>
    <row r="194">
      <c r="A194" s="40" t="n">
        <v>2</v>
      </c>
      <c r="B194" s="40" t="inlineStr">
        <is>
          <t>Polka</t>
        </is>
      </c>
      <c r="C194" s="41" t="n">
        <v>0</v>
      </c>
      <c r="D194" s="42" t="n">
        <v>2733.53</v>
      </c>
      <c r="E194" s="62" t="n">
        <v>2870.21</v>
      </c>
      <c r="F194" s="62" t="n">
        <v>0</v>
      </c>
      <c r="G194" s="62" t="n">
        <v>0</v>
      </c>
      <c r="H194" s="62" t="n">
        <v>0</v>
      </c>
      <c r="I194" s="62" t="n">
        <v>0</v>
      </c>
      <c r="J194" s="42">
        <f>SUM(F194:I194)</f>
        <v/>
      </c>
      <c r="K194" s="42">
        <f>J194-E194</f>
        <v/>
      </c>
      <c r="L194" s="41">
        <f>IF(E194&gt;0,J194/E194,0)</f>
        <v/>
      </c>
      <c r="M194" s="42" t="n">
        <v>635.7</v>
      </c>
      <c r="N194" s="42" t="n">
        <v>3543.62</v>
      </c>
      <c r="O194" s="63" t="inlineStr"/>
      <c r="P194" s="63" t="inlineStr"/>
    </row>
    <row r="195">
      <c r="A195" s="37" t="n">
        <v>3</v>
      </c>
      <c r="B195" s="37" t="inlineStr">
        <is>
          <t>TO SUSHI LESZNOWOLA</t>
        </is>
      </c>
      <c r="C195" s="38" t="n">
        <v>0</v>
      </c>
      <c r="D195" s="39" t="n">
        <v>1600</v>
      </c>
      <c r="E195" s="62" t="n">
        <v>1680</v>
      </c>
      <c r="F195" s="62" t="n">
        <v>0</v>
      </c>
      <c r="G195" s="62" t="n">
        <v>0</v>
      </c>
      <c r="H195" s="62" t="n">
        <v>0</v>
      </c>
      <c r="I195" s="62" t="n">
        <v>0</v>
      </c>
      <c r="J195" s="39">
        <f>SUM(F195:I195)</f>
        <v/>
      </c>
      <c r="K195" s="39">
        <f>J195-E195</f>
        <v/>
      </c>
      <c r="L195" s="38">
        <f>IF(E195&gt;0,J195/E195,0)</f>
        <v/>
      </c>
      <c r="M195" s="39" t="n">
        <v>372.09</v>
      </c>
      <c r="N195" s="39" t="n">
        <v>320</v>
      </c>
      <c r="O195" s="63" t="inlineStr"/>
      <c r="P195" s="63" t="inlineStr"/>
    </row>
    <row r="196">
      <c r="A196" s="40" t="n">
        <v>4</v>
      </c>
      <c r="B196" s="40" t="inlineStr">
        <is>
          <t>TO SUSHI DAWIDY BANKOWE</t>
        </is>
      </c>
      <c r="C196" s="41" t="n">
        <v>0</v>
      </c>
      <c r="D196" s="42" t="n">
        <v>1514.73</v>
      </c>
      <c r="E196" s="62" t="n">
        <v>1590.47</v>
      </c>
      <c r="F196" s="62" t="n">
        <v>0</v>
      </c>
      <c r="G196" s="62" t="n">
        <v>0</v>
      </c>
      <c r="H196" s="62" t="n">
        <v>0</v>
      </c>
      <c r="I196" s="62" t="n">
        <v>0</v>
      </c>
      <c r="J196" s="42">
        <f>SUM(F196:I196)</f>
        <v/>
      </c>
      <c r="K196" s="42">
        <f>J196-E196</f>
        <v/>
      </c>
      <c r="L196" s="41">
        <f>IF(E196&gt;0,J196/E196,0)</f>
        <v/>
      </c>
      <c r="M196" s="42" t="n">
        <v>352.26</v>
      </c>
      <c r="N196" s="42" t="n">
        <v>210</v>
      </c>
      <c r="O196" s="63" t="inlineStr"/>
      <c r="P196" s="63" t="inlineStr"/>
    </row>
    <row r="197">
      <c r="A197" s="37" t="n">
        <v>5</v>
      </c>
      <c r="B197" s="37" t="inlineStr">
        <is>
          <t>SKALO</t>
        </is>
      </c>
      <c r="C197" s="38" t="n">
        <v>0</v>
      </c>
      <c r="D197" s="39" t="n">
        <v>1475.79</v>
      </c>
      <c r="E197" s="62" t="n">
        <v>1549.58</v>
      </c>
      <c r="F197" s="62" t="n">
        <v>0</v>
      </c>
      <c r="G197" s="62" t="n">
        <v>0</v>
      </c>
      <c r="H197" s="62" t="n">
        <v>0</v>
      </c>
      <c r="I197" s="62" t="n">
        <v>0</v>
      </c>
      <c r="J197" s="39">
        <f>SUM(F197:I197)</f>
        <v/>
      </c>
      <c r="K197" s="39">
        <f>J197-E197</f>
        <v/>
      </c>
      <c r="L197" s="38">
        <f>IF(E197&gt;0,J197/E197,0)</f>
        <v/>
      </c>
      <c r="M197" s="39" t="n">
        <v>343.21</v>
      </c>
      <c r="N197" s="39" t="n">
        <v>181.3</v>
      </c>
      <c r="O197" s="63" t="inlineStr"/>
      <c r="P197" s="63" t="inlineStr"/>
    </row>
    <row r="198">
      <c r="A198" s="40" t="n">
        <v>6</v>
      </c>
      <c r="B198" s="40" t="inlineStr">
        <is>
          <t>KALISKA 20</t>
        </is>
      </c>
      <c r="C198" s="41" t="n">
        <v>0</v>
      </c>
      <c r="D198" s="42" t="n">
        <v>800.62</v>
      </c>
      <c r="E198" s="62" t="n">
        <v>840.65</v>
      </c>
      <c r="F198" s="62" t="n">
        <v>0</v>
      </c>
      <c r="G198" s="62" t="n">
        <v>0</v>
      </c>
      <c r="H198" s="62" t="n">
        <v>0</v>
      </c>
      <c r="I198" s="62" t="n">
        <v>0</v>
      </c>
      <c r="J198" s="42">
        <f>SUM(F198:I198)</f>
        <v/>
      </c>
      <c r="K198" s="42">
        <f>J198-E198</f>
        <v/>
      </c>
      <c r="L198" s="41">
        <f>IF(E198&gt;0,J198/E198,0)</f>
        <v/>
      </c>
      <c r="M198" s="42" t="n">
        <v>186.19</v>
      </c>
      <c r="N198" s="42" t="n">
        <v>0</v>
      </c>
      <c r="O198" s="63" t="inlineStr"/>
      <c r="P198" s="63" t="inlineStr"/>
    </row>
    <row r="199">
      <c r="A199" s="37" t="n">
        <v>7</v>
      </c>
      <c r="B199" s="37" t="inlineStr">
        <is>
          <t>Przystań Aloha - Basen Wodnik</t>
        </is>
      </c>
      <c r="C199" s="38" t="n">
        <v>0</v>
      </c>
      <c r="D199" s="39" t="n">
        <v>547.4400000000001</v>
      </c>
      <c r="E199" s="62" t="n">
        <v>574.8099999999999</v>
      </c>
      <c r="F199" s="62" t="n">
        <v>0</v>
      </c>
      <c r="G199" s="62" t="n">
        <v>0</v>
      </c>
      <c r="H199" s="62" t="n">
        <v>0</v>
      </c>
      <c r="I199" s="62" t="n">
        <v>0</v>
      </c>
      <c r="J199" s="39">
        <f>SUM(F199:I199)</f>
        <v/>
      </c>
      <c r="K199" s="39">
        <f>J199-E199</f>
        <v/>
      </c>
      <c r="L199" s="38">
        <f>IF(E199&gt;0,J199/E199,0)</f>
        <v/>
      </c>
      <c r="M199" s="39" t="n">
        <v>127.31</v>
      </c>
      <c r="N199" s="39" t="n">
        <v>1147.91</v>
      </c>
      <c r="O199" s="63" t="inlineStr"/>
      <c r="P199" s="63" t="inlineStr"/>
    </row>
    <row r="200">
      <c r="A200" s="40" t="n">
        <v>8</v>
      </c>
      <c r="B200" s="40" t="inlineStr">
        <is>
          <t xml:space="preserve">Małgosia </t>
        </is>
      </c>
      <c r="C200" s="41" t="n">
        <v>0</v>
      </c>
      <c r="D200" s="42" t="n">
        <v>365.42</v>
      </c>
      <c r="E200" s="62" t="n">
        <v>383.69</v>
      </c>
      <c r="F200" s="62" t="n">
        <v>0</v>
      </c>
      <c r="G200" s="62" t="n">
        <v>0</v>
      </c>
      <c r="H200" s="62" t="n">
        <v>0</v>
      </c>
      <c r="I200" s="62" t="n">
        <v>0</v>
      </c>
      <c r="J200" s="42">
        <f>SUM(F200:I200)</f>
        <v/>
      </c>
      <c r="K200" s="42">
        <f>J200-E200</f>
        <v/>
      </c>
      <c r="L200" s="41">
        <f>IF(E200&gt;0,J200/E200,0)</f>
        <v/>
      </c>
      <c r="M200" s="42" t="n">
        <v>84.98</v>
      </c>
      <c r="N200" s="42" t="n">
        <v>422.47</v>
      </c>
      <c r="O200" s="63" t="inlineStr"/>
      <c r="P200" s="63" t="inlineStr"/>
    </row>
    <row r="201">
      <c r="A201" s="37" t="n">
        <v>9</v>
      </c>
      <c r="B201" s="37" t="inlineStr">
        <is>
          <t>Anna Żmudzka</t>
        </is>
      </c>
      <c r="C201" s="38" t="n">
        <v>0</v>
      </c>
      <c r="D201" s="39" t="n">
        <v>39.16</v>
      </c>
      <c r="E201" s="62" t="n">
        <v>41.12</v>
      </c>
      <c r="F201" s="62" t="n">
        <v>0</v>
      </c>
      <c r="G201" s="62" t="n">
        <v>0</v>
      </c>
      <c r="H201" s="62" t="n">
        <v>0</v>
      </c>
      <c r="I201" s="62" t="n">
        <v>0</v>
      </c>
      <c r="J201" s="39">
        <f>SUM(F201:I201)</f>
        <v/>
      </c>
      <c r="K201" s="39">
        <f>J201-E201</f>
        <v/>
      </c>
      <c r="L201" s="38">
        <f>IF(E201&gt;0,J201/E201,0)</f>
        <v/>
      </c>
      <c r="M201" s="39" t="n">
        <v>9.109999999999999</v>
      </c>
      <c r="N201" s="39" t="n">
        <v>48.35</v>
      </c>
      <c r="O201" s="63" t="inlineStr"/>
      <c r="P201" s="63" t="inlineStr"/>
    </row>
    <row r="202">
      <c r="A202" s="64" t="n"/>
      <c r="B202" s="28" t="inlineStr">
        <is>
          <t>RAZEM INNE (nowi / nieprzypisani)</t>
        </is>
      </c>
      <c r="C202" s="65" t="n"/>
      <c r="D202" s="66">
        <f>SUM(D193:D201)</f>
        <v/>
      </c>
      <c r="E202" s="66">
        <f>SUM(E193:E201)</f>
        <v/>
      </c>
      <c r="F202" s="66">
        <f>SUM(F193:F201)</f>
        <v/>
      </c>
      <c r="G202" s="66">
        <f>SUM(G193:G201)</f>
        <v/>
      </c>
      <c r="H202" s="66">
        <f>SUM(H193:H201)</f>
        <v/>
      </c>
      <c r="I202" s="66">
        <f>SUM(I193:I201)</f>
        <v/>
      </c>
      <c r="J202" s="66">
        <f>SUM(J193:J201)</f>
        <v/>
      </c>
      <c r="K202" s="66">
        <f>SUM(K193:K201)</f>
        <v/>
      </c>
      <c r="L202" s="67">
        <f>IF(E202&gt;0,J202/E202,0)</f>
        <v/>
      </c>
      <c r="M202" s="68" t="n"/>
      <c r="N202" s="66">
        <f>SUM(N193:N201)</f>
        <v/>
      </c>
      <c r="O202" s="64" t="n"/>
      <c r="P202" s="64" t="n"/>
    </row>
    <row r="204">
      <c r="A204" s="79" t="inlineStr">
        <is>
          <t>ŁĄCZNA SPRZEDAŻ STYCZEŃ 2026: 361,376.21 zł | CEL LUTY 2026: 379,445.02 zł (+5%)</t>
        </is>
      </c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</row>
  </sheetData>
  <mergeCells count="9">
    <mergeCell ref="A204:P204"/>
    <mergeCell ref="A1:P1"/>
    <mergeCell ref="A2:P2"/>
    <mergeCell ref="A106:P106"/>
    <mergeCell ref="A4:P4"/>
    <mergeCell ref="A140:P140"/>
    <mergeCell ref="A59:P59"/>
    <mergeCell ref="A191:P191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1" t="inlineStr">
        <is>
          <t>TRENDY SPRZEDAŻY - WSZYSTKIE GRUPY (Sty 25 → Sty 26)</t>
        </is>
      </c>
    </row>
    <row r="3">
      <c r="A3" s="82" t="inlineStr">
        <is>
          <t>GRUPA</t>
        </is>
      </c>
      <c r="B3" s="82" t="inlineStr">
        <is>
          <t>Sty 25</t>
        </is>
      </c>
      <c r="C3" s="82" t="inlineStr">
        <is>
          <t>Lut 25</t>
        </is>
      </c>
      <c r="D3" s="82" t="inlineStr">
        <is>
          <t>Mar 25</t>
        </is>
      </c>
      <c r="E3" s="82" t="inlineStr">
        <is>
          <t>Kwi 25</t>
        </is>
      </c>
      <c r="F3" s="82" t="inlineStr">
        <is>
          <t>Maj 25</t>
        </is>
      </c>
      <c r="G3" s="82" t="inlineStr">
        <is>
          <t>Cze 25</t>
        </is>
      </c>
      <c r="H3" s="82" t="inlineStr">
        <is>
          <t>Lip 25</t>
        </is>
      </c>
      <c r="I3" s="82" t="inlineStr">
        <is>
          <t>Sie 25</t>
        </is>
      </c>
      <c r="J3" s="82" t="inlineStr">
        <is>
          <t>Wrz 25</t>
        </is>
      </c>
      <c r="K3" s="82" t="inlineStr">
        <is>
          <t>Paź 25</t>
        </is>
      </c>
      <c r="L3" s="82" t="inlineStr">
        <is>
          <t>Lis 25</t>
        </is>
      </c>
      <c r="M3" s="82" t="inlineStr">
        <is>
          <t>Gru 25</t>
        </is>
      </c>
      <c r="N3" s="82" t="inlineStr">
        <is>
          <t>Sty 26</t>
        </is>
      </c>
      <c r="O3" s="82" t="inlineStr">
        <is>
          <t>SUMA</t>
        </is>
      </c>
    </row>
    <row r="4">
      <c r="A4" s="83" t="inlineStr">
        <is>
          <t>PREMIUM GOSIA</t>
        </is>
      </c>
      <c r="B4" s="39" t="n">
        <v>158091.25</v>
      </c>
      <c r="C4" s="39" t="n">
        <v>197408.48</v>
      </c>
      <c r="D4" s="39" t="n">
        <v>184909.98</v>
      </c>
      <c r="E4" s="39" t="n">
        <v>85312.81999999999</v>
      </c>
      <c r="F4" s="39" t="n">
        <v>88215.32000000001</v>
      </c>
      <c r="G4" s="39" t="n">
        <v>95000.16</v>
      </c>
      <c r="H4" s="39" t="n">
        <v>88974.36000000002</v>
      </c>
      <c r="I4" s="39" t="n">
        <v>95175.75</v>
      </c>
      <c r="J4" s="39" t="n">
        <v>101907.1</v>
      </c>
      <c r="K4" s="39" t="n">
        <v>91295.97</v>
      </c>
      <c r="L4" s="39" t="n">
        <v>84392.45</v>
      </c>
      <c r="M4" s="39" t="n">
        <v>130129.8</v>
      </c>
      <c r="N4" s="39" t="n">
        <v>90707.13</v>
      </c>
      <c r="O4" s="48" t="n">
        <v>1491520.57</v>
      </c>
    </row>
    <row r="5">
      <c r="A5" s="84" t="inlineStr">
        <is>
          <t>PREMIUM MAGDA</t>
        </is>
      </c>
      <c r="B5" s="39" t="n">
        <v>110501.23</v>
      </c>
      <c r="C5" s="39" t="n">
        <v>102673.3</v>
      </c>
      <c r="D5" s="39" t="n">
        <v>117083.32</v>
      </c>
      <c r="E5" s="39" t="n">
        <v>103158.03</v>
      </c>
      <c r="F5" s="39" t="n">
        <v>127206.69</v>
      </c>
      <c r="G5" s="39" t="n">
        <v>119625.11</v>
      </c>
      <c r="H5" s="39" t="n">
        <v>129119.34</v>
      </c>
      <c r="I5" s="39" t="n">
        <v>150261.91</v>
      </c>
      <c r="J5" s="39" t="n">
        <v>182542.91</v>
      </c>
      <c r="K5" s="39" t="n">
        <v>159263.96</v>
      </c>
      <c r="L5" s="39" t="n">
        <v>155419.56</v>
      </c>
      <c r="M5" s="39" t="n">
        <v>178908.71</v>
      </c>
      <c r="N5" s="39" t="n">
        <v>127318.03</v>
      </c>
      <c r="O5" s="48" t="n">
        <v>1763082.1</v>
      </c>
    </row>
    <row r="6">
      <c r="A6" s="85" t="inlineStr">
        <is>
          <t>STANDARD MAGDA</t>
        </is>
      </c>
      <c r="B6" s="39" t="n">
        <v>80823.44</v>
      </c>
      <c r="C6" s="39" t="n">
        <v>58333.47</v>
      </c>
      <c r="D6" s="39" t="n">
        <v>56445.67000000001</v>
      </c>
      <c r="E6" s="39" t="n">
        <v>73152.70999999999</v>
      </c>
      <c r="F6" s="39" t="n">
        <v>59504.76999999999</v>
      </c>
      <c r="G6" s="39" t="n">
        <v>69729.79000000001</v>
      </c>
      <c r="H6" s="39" t="n">
        <v>78255</v>
      </c>
      <c r="I6" s="39" t="n">
        <v>64129.95</v>
      </c>
      <c r="J6" s="39" t="n">
        <v>74186.73999999999</v>
      </c>
      <c r="K6" s="39" t="n">
        <v>94730.12999999999</v>
      </c>
      <c r="L6" s="39" t="n">
        <v>78413.62</v>
      </c>
      <c r="M6" s="39" t="n">
        <v>99347.48</v>
      </c>
      <c r="N6" s="39" t="n">
        <v>92360.71000000001</v>
      </c>
      <c r="O6" s="48" t="n">
        <v>979413.48</v>
      </c>
    </row>
    <row r="7">
      <c r="A7" s="86" t="inlineStr">
        <is>
          <t>WERYFIKACJA - ZOSTANĄ</t>
        </is>
      </c>
      <c r="B7" s="39" t="n">
        <v>37136.61</v>
      </c>
      <c r="C7" s="39" t="n">
        <v>30779.49</v>
      </c>
      <c r="D7" s="39" t="n">
        <v>35856.95</v>
      </c>
      <c r="E7" s="39" t="n">
        <v>37021.35</v>
      </c>
      <c r="F7" s="39" t="n">
        <v>34135.26</v>
      </c>
      <c r="G7" s="39" t="n">
        <v>33249.23</v>
      </c>
      <c r="H7" s="39" t="n">
        <v>42339.09</v>
      </c>
      <c r="I7" s="39" t="n">
        <v>39976.69</v>
      </c>
      <c r="J7" s="39" t="n">
        <v>43264.12</v>
      </c>
      <c r="K7" s="39" t="n">
        <v>36156.6</v>
      </c>
      <c r="L7" s="39" t="n">
        <v>34897.85</v>
      </c>
      <c r="M7" s="39" t="n">
        <v>37007.69999999999</v>
      </c>
      <c r="N7" s="39" t="n">
        <v>27867.19</v>
      </c>
      <c r="O7" s="48" t="n">
        <v>469688.13</v>
      </c>
    </row>
    <row r="8">
      <c r="A8" s="87" t="inlineStr">
        <is>
          <t>WERYFIKACJA - ODEJDĄ</t>
        </is>
      </c>
      <c r="B8" s="39" t="n">
        <v>44196.06999999999</v>
      </c>
      <c r="C8" s="39" t="n">
        <v>44865.52</v>
      </c>
      <c r="D8" s="39" t="n">
        <v>43679.29</v>
      </c>
      <c r="E8" s="39" t="n">
        <v>54397.36</v>
      </c>
      <c r="F8" s="39" t="n">
        <v>33225.7</v>
      </c>
      <c r="G8" s="39" t="n">
        <v>41612.60000000001</v>
      </c>
      <c r="H8" s="39" t="n">
        <v>37465.75999999999</v>
      </c>
      <c r="I8" s="39" t="n">
        <v>42275.18</v>
      </c>
      <c r="J8" s="39" t="n">
        <v>29142.97</v>
      </c>
      <c r="K8" s="39" t="n">
        <v>27011</v>
      </c>
      <c r="L8" s="39" t="n">
        <v>25243.82</v>
      </c>
      <c r="M8" s="39" t="n">
        <v>21116.8</v>
      </c>
      <c r="N8" s="39" t="n">
        <v>10216.06</v>
      </c>
      <c r="O8" s="48" t="n">
        <v>454448.1299999999</v>
      </c>
    </row>
    <row r="9">
      <c r="A9" s="88" t="inlineStr">
        <is>
          <t>INNE (nowi / nieprzypisani)</t>
        </is>
      </c>
      <c r="B9" s="39" t="n">
        <v>68071.35000000001</v>
      </c>
      <c r="C9" s="39" t="n">
        <v>81409.62</v>
      </c>
      <c r="D9" s="39" t="n">
        <v>73634.33</v>
      </c>
      <c r="E9" s="39" t="n">
        <v>62142.03</v>
      </c>
      <c r="F9" s="39" t="n">
        <v>73649.38</v>
      </c>
      <c r="G9" s="39" t="n">
        <v>60582.23</v>
      </c>
      <c r="H9" s="39" t="n">
        <v>43476.19</v>
      </c>
      <c r="I9" s="39" t="n">
        <v>26642.21</v>
      </c>
      <c r="J9" s="39" t="n">
        <v>12210.89</v>
      </c>
      <c r="K9" s="39" t="n">
        <v>6488.24</v>
      </c>
      <c r="L9" s="39" t="n">
        <v>2261.16</v>
      </c>
      <c r="M9" s="39" t="n">
        <v>11330.58</v>
      </c>
      <c r="N9" s="39" t="n">
        <v>12907.09</v>
      </c>
      <c r="O9" s="48" t="n">
        <v>534805.2999999999</v>
      </c>
    </row>
    <row r="10">
      <c r="A10" s="28" t="inlineStr">
        <is>
          <t>RAZEM</t>
        </is>
      </c>
      <c r="B10" s="66">
        <f>SUM(B4:B9)</f>
        <v/>
      </c>
      <c r="C10" s="66">
        <f>SUM(C4:C9)</f>
        <v/>
      </c>
      <c r="D10" s="66">
        <f>SUM(D4:D9)</f>
        <v/>
      </c>
      <c r="E10" s="66">
        <f>SUM(E4:E9)</f>
        <v/>
      </c>
      <c r="F10" s="66">
        <f>SUM(F4:F9)</f>
        <v/>
      </c>
      <c r="G10" s="66">
        <f>SUM(G4:G9)</f>
        <v/>
      </c>
      <c r="H10" s="66">
        <f>SUM(H4:H9)</f>
        <v/>
      </c>
      <c r="I10" s="66">
        <f>SUM(I4:I9)</f>
        <v/>
      </c>
      <c r="J10" s="66">
        <f>SUM(J4:J9)</f>
        <v/>
      </c>
      <c r="K10" s="66">
        <f>SUM(K4:K9)</f>
        <v/>
      </c>
      <c r="L10" s="66">
        <f>SUM(L4:L9)</f>
        <v/>
      </c>
      <c r="M10" s="66">
        <f>SUM(M4:M9)</f>
        <v/>
      </c>
      <c r="N10" s="66">
        <f>SUM(N4:N9)</f>
        <v/>
      </c>
      <c r="O10" s="66">
        <f>SUM(O4:O9)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2026-02-08T14:50:54Z</dcterms:created>
  <dcterms:modified xsi:type="dcterms:W3CDTF">2026-02-08T14:50:55Z</dcterms:modified>
</cp:coreProperties>
</file>